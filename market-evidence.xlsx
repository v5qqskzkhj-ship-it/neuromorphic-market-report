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bad536e8d64f39" /></Relationships>
</file>

<file path=xl/workbook.xml><?xml version="1.0" encoding="utf-8"?>
<x:workbook xmlns:x="http://schemas.openxmlformats.org/spreadsheetml/2006/main">
  <x:sheets>
    <x:sheet xmlns:r="http://schemas.openxmlformats.org/officeDocument/2006/relationships" name="图表汇总" sheetId="1" r:id="Ra8714f0ffee949fe"/>
    <x:sheet xmlns:r="http://schemas.openxmlformats.org/officeDocument/2006/relationships" name="主体证据" sheetId="2" r:id="R95736d4aaddf4fff"/>
    <x:sheet xmlns:r="http://schemas.openxmlformats.org/officeDocument/2006/relationships" name="产品阶段" sheetId="3" r:id="Rf867912933864b09"/>
    <x:sheet xmlns:r="http://schemas.openxmlformats.org/officeDocument/2006/relationships" name="事件与财务" sheetId="4" r:id="Rbfc9847b51f04f8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10">
    <x:font>
      <x:sz val="11"/>
      <x:name val="Carlito"/>
    </x:font>
    <x:font>
      <x:sz val="11"/>
      <x:name val="Noto Sans SC"/>
    </x:font>
    <x:font>
      <x:b/>
      <x:sz val="16"/>
      <x:name val="Noto Sans SC"/>
    </x:font>
    <x:font>
      <x:b/>
      <x:sz val="11"/>
      <x:color rgb="FFFFFFFF"/>
      <x:name val="Noto Sans SC"/>
    </x:font>
    <x:font>
      <x:b/>
      <x:sz val="12"/>
      <x:name val="Noto Sans SC"/>
    </x:font>
    <x:font>
      <x:b/>
      <x:sz val="11"/>
      <x:name val="Noto Sans SC"/>
    </x:font>
    <x:font>
      <x:sz val="11"/>
      <x:color rgb="FF222222"/>
      <x:name val="Noto Sans SC"/>
    </x:font>
    <x:font>
      <x:b/>
      <x:sz val="11"/>
      <x:color rgb="FF222222"/>
      <x:name val="Noto Sans SC"/>
    </x:font>
    <x:font>
      <x:b/>
      <x:sz val="12"/>
      <x:color rgb="FF222222"/>
      <x:name val="Noto Sans SC"/>
    </x:font>
    <x:font>
      <x:b/>
      <x:sz val="12"/>
      <x:color rgb="FFFFFFFF"/>
      <x:name val="Noto Sans SC"/>
    </x:font>
  </x:fonts>
  <x:fills count="32">
    <x:fill>
      <x:patternFill patternType="none"/>
    </x:fill>
    <x:fill>
      <x:patternFill patternType="gray125"/>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FFFFFF"/>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
      <x:patternFill patternType="solid">
        <x:fgColor rgb="FF1F6C8A"/>
      </x:patternFill>
    </x:fill>
    <x:fill>
      <x:patternFill patternType="solid">
        <x:fgColor rgb="FF23445C"/>
      </x:patternFill>
    </x:fill>
  </x:fills>
  <x:borders count="9">
    <x:border/>
    <x:border diagonalUp="0" diagonalDown="0">
      <x:left style="none"/>
      <x:top style="none"/>
    </x:border>
    <x:border diagonalUp="0" diagonalDown="0">
      <x:top style="none"/>
    </x:border>
    <x:border diagonalUp="0" diagonalDown="0">
      <x:right style="none"/>
      <x:top style="none"/>
    </x:border>
    <x:border diagonalUp="0" diagonalDown="0">
      <x:left style="none"/>
    </x:border>
    <x:border diagonalUp="0" diagonalDown="0">
      <x:right style="none"/>
    </x:border>
    <x:border diagonalUp="0" diagonalDown="0">
      <x:left style="none"/>
      <x:bottom style="none"/>
    </x:border>
    <x:border diagonalUp="0" diagonalDown="0">
      <x:bottom style="none"/>
    </x:border>
    <x:border diagonalUp="0" diagonalDown="0">
      <x:right style="none"/>
      <x:bottom style="none"/>
    </x:border>
  </x:borders>
  <x:cellStyleXfs count="1">
    <x:xf numFmtId="0" fontId="0" fillId="0" borderId="0"/>
  </x:cellStyleXfs>
  <x:cellXfs count="20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0" borderId="0" xfId="0" applyNumberFormat="1" applyFont="1" applyFill="1" applyBorder="1" applyAlignment="1">
      <x:alignment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201" fontId="4"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201" fontId="0" fillId="0" borderId="0" xfId="0" applyNumberFormat="1" applyFont="1" applyFill="1" applyBorder="1"/>
    <x:xf numFmtId="200" fontId="0" fillId="0"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201" fontId="1" fillId="0" borderId="0" xfId="0" applyNumberFormat="1" applyFont="1" applyFill="1" applyBorder="1"/>
    <x:xf numFmtId="200" fontId="1" fillId="0" borderId="0" xfId="0" applyNumberFormat="1" applyFont="1" applyFill="1" applyBorder="1"/>
    <x:xf numFmtId="0" fontId="5" fillId="0" borderId="0" xfId="0" applyNumberFormat="1" applyFont="1" applyFill="1" applyBorder="1" applyAlignment="1">
      <x:alignment vertical="center"/>
    </x:xf>
    <x:xf numFmtId="0" fontId="3" fillId="7"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3" fillId="7" borderId="0" xfId="0" applyNumberFormat="1" applyFont="1" applyFill="1" applyBorder="1" applyAlignment="1">
      <x:alignment vertical="center" wrapText="1"/>
    </x:xf>
    <x:xf numFmtId="0" fontId="1" fillId="0" borderId="0" xfId="0" applyNumberFormat="1" applyFont="1" applyFill="1" applyBorder="1" applyAlignment="1">
      <x:alignment vertical="center" wrapText="0"/>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3" fillId="9" borderId="0"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3" fillId="10" borderId="0" xfId="0" applyNumberFormat="1" applyFont="1" applyFill="1" applyBorder="1"/>
    <x:xf numFmtId="201" fontId="0" fillId="10" borderId="0" xfId="0" applyNumberFormat="1" applyFont="1" applyFill="1" applyBorder="1"/>
    <x:xf numFmtId="200" fontId="0" fillId="10" borderId="0" xfId="0" applyNumberFormat="1" applyFont="1" applyFill="1" applyBorder="1"/>
    <x:xf numFmtId="0" fontId="6" fillId="10" borderId="0" xfId="0" applyNumberFormat="1" applyFont="1" applyFill="1" applyBorder="1"/>
    <x:xf numFmtId="0" fontId="7" fillId="10" borderId="0" xfId="0" applyNumberFormat="1" applyFont="1" applyFill="1" applyBorder="1"/>
    <x:xf numFmtId="201" fontId="6" fillId="10" borderId="0" xfId="0" applyNumberFormat="1" applyFont="1" applyFill="1" applyBorder="1"/>
    <x:xf numFmtId="200" fontId="6" fillId="10" borderId="0" xfId="0" applyNumberFormat="1" applyFont="1" applyFill="1" applyBorder="1"/>
    <x:xf numFmtId="0" fontId="6" fillId="10" borderId="1" xfId="0" applyNumberFormat="1" applyFont="1" applyFill="1" applyBorder="1"/>
    <x:xf numFmtId="0" fontId="6" fillId="10" borderId="2" xfId="0" applyNumberFormat="1" applyFont="1" applyFill="1" applyBorder="1"/>
    <x:xf numFmtId="0" fontId="6" fillId="10" borderId="3" xfId="0" applyNumberFormat="1" applyFont="1" applyFill="1" applyBorder="1"/>
    <x:xf numFmtId="0" fontId="6" fillId="10" borderId="4" xfId="0" applyNumberFormat="1" applyFont="1" applyFill="1" applyBorder="1"/>
    <x:xf numFmtId="0" fontId="6" fillId="10" xfId="0" applyNumberFormat="1" applyFont="1" applyFill="1" applyBorder="0"/>
    <x:xf numFmtId="0" fontId="6" fillId="10" borderId="5" xfId="0" applyNumberFormat="1" applyFont="1" applyFill="1" applyBorder="1"/>
    <x:xf numFmtId="0" fontId="7" fillId="10" borderId="4" xfId="0" applyNumberFormat="1" applyFont="1" applyFill="1" applyBorder="1"/>
    <x:xf numFmtId="0" fontId="7" fillId="10" xfId="0" applyNumberFormat="1" applyFont="1" applyFill="1" applyBorder="0"/>
    <x:xf numFmtId="201" fontId="6" fillId="10" xfId="0" applyNumberFormat="1" applyFont="1" applyFill="1" applyBorder="0"/>
    <x:xf numFmtId="200" fontId="6" fillId="10" xfId="0" applyNumberFormat="1" applyFont="1" applyFill="1" applyBorder="0"/>
    <x:xf numFmtId="0" fontId="6" fillId="10" borderId="6" xfId="0" applyNumberFormat="1" applyFont="1" applyFill="1" applyBorder="1"/>
    <x:xf numFmtId="0" fontId="6" fillId="10" borderId="7" xfId="0" applyNumberFormat="1" applyFont="1" applyFill="1" applyBorder="1"/>
    <x:xf numFmtId="0" fontId="6" fillId="10" borderId="8" xfId="0" applyNumberFormat="1" applyFont="1" applyFill="1" applyBorder="1"/>
    <x:xf numFmtId="0" fontId="6" fillId="10" borderId="1" xfId="0" applyNumberFormat="1" applyFont="1" applyFill="1" applyBorder="1" applyAlignment="1">
      <x:alignment vertical="center"/>
    </x:xf>
    <x:xf numFmtId="0" fontId="6" fillId="10" borderId="2" xfId="0" applyNumberFormat="1" applyFont="1" applyFill="1" applyBorder="1" applyAlignment="1">
      <x:alignment vertical="center"/>
    </x:xf>
    <x:xf numFmtId="0" fontId="6" fillId="10" borderId="3" xfId="0" applyNumberFormat="1" applyFont="1" applyFill="1" applyBorder="1" applyAlignment="1">
      <x:alignment vertical="center"/>
    </x:xf>
    <x:xf numFmtId="0" fontId="6" fillId="10" borderId="4" xfId="0" applyNumberFormat="1" applyFont="1" applyFill="1" applyBorder="1" applyAlignment="1">
      <x:alignment vertical="center"/>
    </x:xf>
    <x:xf numFmtId="0" fontId="6" fillId="10" xfId="0" applyNumberFormat="1" applyFont="1" applyFill="1" applyBorder="0" applyAlignment="1">
      <x:alignment vertical="center"/>
    </x:xf>
    <x:xf numFmtId="0" fontId="6" fillId="10" borderId="5" xfId="0" applyNumberFormat="1" applyFont="1" applyFill="1" applyBorder="1" applyAlignment="1">
      <x:alignment vertical="center"/>
    </x:xf>
    <x:xf numFmtId="0" fontId="7" fillId="10" borderId="4" xfId="0" applyNumberFormat="1" applyFont="1" applyFill="1" applyBorder="1" applyAlignment="1">
      <x:alignment vertical="center"/>
    </x:xf>
    <x:xf numFmtId="0" fontId="7" fillId="10" xfId="0" applyNumberFormat="1" applyFont="1" applyFill="1" applyBorder="0" applyAlignment="1">
      <x:alignment vertical="center"/>
    </x:xf>
    <x:xf numFmtId="201" fontId="6" fillId="10" xfId="0" applyNumberFormat="1" applyFont="1" applyFill="1" applyBorder="0" applyAlignment="1">
      <x:alignment vertical="center"/>
    </x:xf>
    <x:xf numFmtId="200" fontId="6" fillId="10" xfId="0" applyNumberFormat="1" applyFont="1" applyFill="1" applyBorder="0" applyAlignment="1">
      <x:alignment vertical="center"/>
    </x:xf>
    <x:xf numFmtId="0" fontId="6" fillId="10" borderId="6" xfId="0" applyNumberFormat="1" applyFont="1" applyFill="1" applyBorder="1" applyAlignment="1">
      <x:alignment vertical="center"/>
    </x:xf>
    <x:xf numFmtId="0" fontId="6" fillId="10" borderId="7" xfId="0" applyNumberFormat="1" applyFont="1" applyFill="1" applyBorder="1" applyAlignment="1">
      <x:alignment vertical="center"/>
    </x:xf>
    <x:xf numFmtId="0" fontId="6" fillId="10" borderId="8" xfId="0" applyNumberFormat="1" applyFont="1" applyFill="1" applyBorder="1" applyAlignment="1">
      <x:alignment vertical="center"/>
    </x:xf>
    <x:xf numFmtId="0" fontId="7" fillId="10" borderId="4" xfId="0" applyNumberFormat="1" applyFont="1" applyFill="1" applyBorder="1" applyAlignment="1">
      <x:alignment vertical="center" wrapText="1"/>
    </x:xf>
    <x:xf numFmtId="0" fontId="7" fillId="10" xfId="0" applyNumberFormat="1" applyFont="1" applyFill="1" applyBorder="0" applyAlignment="1">
      <x:alignment vertical="center" wrapText="1"/>
    </x:xf>
    <x:xf numFmtId="0" fontId="6" fillId="10" borderId="4" xfId="0" applyNumberFormat="1" applyFont="1" applyFill="1" applyBorder="1" applyAlignment="1">
      <x:alignment vertical="center" wrapText="1"/>
    </x:xf>
    <x:xf numFmtId="201" fontId="6" fillId="10" xfId="0" applyNumberFormat="1" applyFont="1" applyFill="1" applyBorder="0" applyAlignment="1">
      <x:alignment vertical="center" wrapText="1"/>
    </x:xf>
    <x:xf numFmtId="0" fontId="6" fillId="10" xfId="0" applyNumberFormat="1" applyFont="1" applyFill="1" applyBorder="0" applyAlignment="1">
      <x:alignment vertical="center" wrapText="1"/>
    </x:xf>
    <x:xf numFmtId="0" fontId="6" fillId="10" borderId="4" xfId="0" applyNumberFormat="1" applyFont="1" applyFill="1" applyBorder="1" applyAlignment="1">
      <x:alignment vertical="center" wrapText="0"/>
    </x:xf>
    <x:xf numFmtId="0" fontId="6" fillId="10" xfId="0" applyNumberFormat="1" applyFont="1" applyFill="1" applyBorder="0" applyAlignment="1">
      <x:alignment vertical="center" wrapText="0"/>
    </x:xf>
    <x:xf numFmtId="200" fontId="6" fillId="10" xfId="0" applyNumberFormat="1" applyFont="1" applyFill="1" applyBorder="0" applyAlignment="1">
      <x:alignment vertical="center" wrapText="1"/>
    </x:xf>
    <x:xf numFmtId="0" fontId="3" fillId="11" borderId="0" xfId="0" applyNumberFormat="1" applyFont="1" applyFill="1" applyBorder="1" applyAlignment="1">
      <x:alignment vertical="center" wrapText="1"/>
    </x:xf>
    <x:xf numFmtId="200" fontId="6" fillId="10" borderId="2" xfId="0" applyNumberFormat="1" applyFont="1" applyFill="1" applyBorder="1" applyAlignment="1">
      <x:alignment vertical="center"/>
    </x:xf>
    <x:xf numFmtId="201" fontId="7" fillId="10" xfId="0" applyNumberFormat="1" applyFont="1" applyFill="1" applyBorder="0" applyAlignment="1">
      <x:alignment vertical="center" wrapText="1"/>
    </x:xf>
    <x:xf numFmtId="201" fontId="6" fillId="10" xfId="0" applyNumberFormat="1" applyFont="1" applyFill="1" applyBorder="0" applyAlignment="1">
      <x:alignment vertical="center" wrapText="0"/>
    </x:xf>
    <x:xf numFmtId="200" fontId="6" fillId="10" borderId="4" xfId="0" applyNumberFormat="1" applyFont="1" applyFill="1" applyBorder="1" applyAlignment="1">
      <x:alignment vertical="center"/>
    </x:xf>
    <x:xf numFmtId="200" fontId="6" fillId="10" borderId="6" xfId="0" applyNumberFormat="1" applyFont="1" applyFill="1" applyBorder="1" applyAlignment="1">
      <x:alignment vertical="center"/>
    </x:xf>
    <x:xf numFmtId="0" fontId="6" fillId="12" borderId="4" xfId="0" applyNumberFormat="1" applyFont="1" applyFill="1" applyBorder="1" applyAlignment="1">
      <x:alignment vertical="center" wrapText="1"/>
    </x:xf>
    <x:xf numFmtId="201" fontId="6" fillId="12" xfId="0" applyNumberFormat="1" applyFont="1" applyFill="1" applyBorder="0" applyAlignment="1">
      <x:alignment vertical="center" wrapText="1"/>
    </x:xf>
    <x:xf numFmtId="0" fontId="6" fillId="12" xfId="0" applyNumberFormat="1" applyFont="1" applyFill="1" applyBorder="0" applyAlignment="1">
      <x:alignment vertical="center" wrapText="1"/>
    </x:xf>
    <x:xf numFmtId="0" fontId="3" fillId="12" borderId="4" xfId="0" applyNumberFormat="1" applyFont="1" applyFill="1" applyBorder="1" applyAlignment="1">
      <x:alignment vertical="center" wrapText="1"/>
    </x:xf>
    <x:xf numFmtId="201" fontId="3" fillId="12" xfId="0" applyNumberFormat="1" applyFont="1" applyFill="1" applyBorder="0" applyAlignment="1">
      <x:alignment vertical="center" wrapText="1"/>
    </x:xf>
    <x:xf numFmtId="0" fontId="3" fillId="12" xfId="0" applyNumberFormat="1" applyFont="1" applyFill="1" applyBorder="0" applyAlignment="1">
      <x:alignment vertical="center" wrapText="1"/>
    </x:xf>
    <x:xf numFmtId="200" fontId="6" fillId="12" xfId="0" applyNumberFormat="1" applyFont="1" applyFill="1" applyBorder="0" applyAlignment="1">
      <x:alignment vertical="center" wrapText="1"/>
    </x:xf>
    <x:xf numFmtId="200" fontId="3" fillId="12" xfId="0" applyNumberFormat="1" applyFont="1" applyFill="1" applyBorder="0" applyAlignment="1">
      <x:alignment vertical="center" wrapText="1"/>
    </x:xf>
    <x:xf numFmtId="0" fontId="6" fillId="12" borderId="4" xfId="0" applyNumberFormat="1" applyFont="1" applyFill="1" applyBorder="1" applyAlignment="1">
      <x:alignment vertical="center"/>
    </x:xf>
    <x:xf numFmtId="0" fontId="6" fillId="12" xfId="0" applyNumberFormat="1" applyFont="1" applyFill="1" applyBorder="0" applyAlignment="1">
      <x:alignment vertical="center"/>
    </x:xf>
    <x:xf numFmtId="0" fontId="3" fillId="12" borderId="4" xfId="0" applyNumberFormat="1" applyFont="1" applyFill="1" applyBorder="1" applyAlignment="1">
      <x:alignment vertical="center"/>
    </x:xf>
    <x:xf numFmtId="0" fontId="3" fillId="12" xfId="0" applyNumberFormat="1" applyFont="1" applyFill="1" applyBorder="0" applyAlignment="1">
      <x:alignment vertical="center"/>
    </x:xf>
    <x:xf numFmtId="0" fontId="8" fillId="10" borderId="4" xfId="0" applyNumberFormat="1" applyFont="1" applyFill="1" applyBorder="1" applyAlignment="1">
      <x:alignment vertical="center" wrapText="1"/>
    </x:xf>
    <x:xf numFmtId="201" fontId="8" fillId="10" xfId="0" applyNumberFormat="1" applyFont="1" applyFill="1" applyBorder="0" applyAlignment="1">
      <x:alignment vertical="center" wrapText="1"/>
    </x:xf>
    <x:xf numFmtId="0" fontId="8" fillId="10" xfId="0" applyNumberFormat="1" applyFont="1" applyFill="1" applyBorder="0" applyAlignment="1">
      <x:alignment vertical="center" wrapText="1"/>
    </x:xf>
    <x:xf numFmtId="200" fontId="6" fillId="10" borderId="4" xfId="0" applyNumberFormat="1" applyFont="1" applyFill="1" applyBorder="1" applyAlignment="1">
      <x:alignment vertical="center" wrapText="1"/>
    </x:xf>
    <x:xf numFmtId="200" fontId="6" fillId="10" borderId="6" xfId="0" applyNumberFormat="1" applyFont="1" applyFill="1" applyBorder="1" applyAlignment="1">
      <x:alignment vertical="center" wrapText="1"/>
    </x:xf>
    <x:xf numFmtId="0" fontId="6" fillId="10" borderId="7" xfId="0" applyNumberFormat="1" applyFont="1" applyFill="1" applyBorder="1" applyAlignment="1">
      <x:alignment vertical="center" wrapText="1"/>
    </x:xf>
    <x:xf numFmtId="0" fontId="1" fillId="13" borderId="0" xfId="0" applyNumberFormat="1" applyFont="1" applyFill="1" applyBorder="1" applyAlignment="1">
      <x:alignment vertical="center"/>
    </x:xf>
    <x:xf numFmtId="0" fontId="3" fillId="13" borderId="0" xfId="0" applyNumberFormat="1" applyFont="1" applyFill="1" applyBorder="1" applyAlignment="1">
      <x:alignment vertical="center"/>
    </x:xf>
    <x:xf numFmtId="0" fontId="3" fillId="13" borderId="0" xfId="0" applyNumberFormat="1" applyFont="1" applyFill="1" applyBorder="1" applyAlignment="1">
      <x:alignment vertical="center" wrapText="1"/>
    </x:xf>
    <x:xf numFmtId="0" fontId="3" fillId="14" borderId="4" xfId="0" applyNumberFormat="1" applyFont="1" applyFill="1" applyBorder="1" applyAlignment="1">
      <x:alignment vertical="center" wrapText="1"/>
    </x:xf>
    <x:xf numFmtId="201" fontId="3" fillId="14" xfId="0" applyNumberFormat="1" applyFont="1" applyFill="1" applyBorder="0" applyAlignment="1">
      <x:alignment vertical="center" wrapText="1"/>
    </x:xf>
    <x:xf numFmtId="0" fontId="3" fillId="14" xfId="0" applyNumberFormat="1" applyFont="1" applyFill="1" applyBorder="0" applyAlignment="1">
      <x:alignment vertical="center" wrapText="1"/>
    </x:xf>
    <x:xf numFmtId="200" fontId="3" fillId="14" xfId="0" applyNumberFormat="1" applyFont="1" applyFill="1" applyBorder="0" applyAlignment="1">
      <x:alignment vertical="center" wrapText="1"/>
    </x:xf>
    <x:xf numFmtId="0" fontId="3" fillId="15" borderId="0" xfId="0" applyNumberFormat="1" applyFont="1" applyFill="1" applyBorder="1" applyAlignment="1">
      <x:alignment vertical="center" wrapText="1"/>
    </x:xf>
    <x:xf numFmtId="0" fontId="3" fillId="16" borderId="4" xfId="0" applyNumberFormat="1" applyFont="1" applyFill="1" applyBorder="1" applyAlignment="1">
      <x:alignment vertical="center" wrapText="1"/>
    </x:xf>
    <x:xf numFmtId="201" fontId="3" fillId="16" xfId="0" applyNumberFormat="1" applyFont="1" applyFill="1" applyBorder="0" applyAlignment="1">
      <x:alignment vertical="center" wrapText="1"/>
    </x:xf>
    <x:xf numFmtId="0" fontId="3" fillId="16" xfId="0" applyNumberFormat="1" applyFont="1" applyFill="1" applyBorder="0" applyAlignment="1">
      <x:alignment vertical="center" wrapText="1"/>
    </x:xf>
    <x:xf numFmtId="200" fontId="3" fillId="16" xfId="0" applyNumberFormat="1" applyFont="1" applyFill="1" applyBorder="0" applyAlignment="1">
      <x:alignment vertical="center" wrapText="1"/>
    </x:xf>
    <x:xf numFmtId="0" fontId="3" fillId="17" borderId="0" xfId="0" applyNumberFormat="1" applyFont="1" applyFill="1" applyBorder="1" applyAlignment="1">
      <x:alignment vertical="center" wrapText="1"/>
    </x:xf>
    <x:xf numFmtId="200" fontId="7" fillId="10" xfId="0" applyNumberFormat="1" applyFont="1" applyFill="1" applyBorder="0" applyAlignment="1">
      <x:alignment vertical="center" wrapText="1"/>
    </x:xf>
    <x:xf numFmtId="200" fontId="6" fillId="10" borderId="5" xfId="0" applyNumberFormat="1" applyFont="1" applyFill="1" applyBorder="1" applyAlignment="1">
      <x:alignment vertical="center"/>
    </x:xf>
    <x:xf numFmtId="200" fontId="8" fillId="10" xfId="0" applyNumberFormat="1" applyFont="1" applyFill="1" applyBorder="0" applyAlignment="1">
      <x:alignment vertical="center" wrapText="1"/>
    </x:xf>
    <x:xf numFmtId="200" fontId="3" fillId="3" xfId="0" applyNumberFormat="1" applyFont="1" applyFill="1" applyBorder="0" applyAlignment="1">
      <x:alignment vertical="center" wrapText="1"/>
    </x:xf>
    <x:xf numFmtId="200" fontId="6" fillId="10" borderId="7" xfId="0" applyNumberFormat="1" applyFont="1" applyFill="1" applyBorder="1" applyAlignment="1">
      <x:alignment vertical="center" wrapText="1"/>
    </x:xf>
    <x:xf numFmtId="200" fontId="6" fillId="10" borderId="8" xfId="0" applyNumberFormat="1" applyFont="1" applyFill="1" applyBorder="1" applyAlignment="1">
      <x:alignment vertical="center"/>
    </x:xf>
    <x:xf numFmtId="200" fontId="6" fillId="10" borderId="5" xfId="0" applyNumberFormat="1" applyFont="1" applyFill="1" applyBorder="1" applyAlignment="1">
      <x:alignment vertical="center" wrapText="1"/>
    </x:xf>
    <x:xf numFmtId="200" fontId="6" fillId="10" borderId="8" xfId="0" applyNumberFormat="1" applyFont="1" applyFill="1" applyBorder="1" applyAlignment="1">
      <x:alignment vertical="center" wrapText="1"/>
    </x:xf>
    <x:xf numFmtId="0" fontId="6" fillId="10" borderId="1" xfId="0" applyNumberFormat="1" applyFont="1" applyFill="1" applyBorder="1" applyAlignment="1">
      <x:alignment vertical="center" wrapText="1"/>
    </x:xf>
    <x:xf numFmtId="200" fontId="6" fillId="10" borderId="2" xfId="0" applyNumberFormat="1" applyFont="1" applyFill="1" applyBorder="1" applyAlignment="1">
      <x:alignment vertical="center" wrapText="1"/>
    </x:xf>
    <x:xf numFmtId="0" fontId="6" fillId="10" borderId="2" xfId="0" applyNumberFormat="1" applyFont="1" applyFill="1" applyBorder="1" applyAlignment="1">
      <x:alignment vertical="center" wrapText="1"/>
    </x:xf>
    <x:xf numFmtId="0" fontId="3" fillId="3" borderId="4" xfId="0" applyNumberFormat="1" applyFont="1" applyFill="1" applyBorder="1" applyAlignment="1">
      <x:alignment vertical="center" wrapText="1"/>
    </x:xf>
    <x:xf numFmtId="0" fontId="3" fillId="3" xfId="0" applyNumberFormat="1" applyFont="1" applyFill="1" applyBorder="0" applyAlignment="1">
      <x:alignment vertical="center" wrapText="1"/>
    </x:xf>
    <x:xf numFmtId="201" fontId="3" fillId="3" xfId="0" applyNumberFormat="1" applyFont="1" applyFill="1" applyBorder="0" applyAlignment="1">
      <x:alignment vertical="center" wrapText="1"/>
    </x:xf>
    <x:xf numFmtId="0" fontId="6" fillId="18" borderId="4" xfId="0" applyNumberFormat="1" applyFont="1" applyFill="1" applyBorder="1" applyAlignment="1">
      <x:alignment vertical="center" wrapText="1"/>
    </x:xf>
    <x:xf numFmtId="201" fontId="6" fillId="18" xfId="0" applyNumberFormat="1" applyFont="1" applyFill="1" applyBorder="0" applyAlignment="1">
      <x:alignment vertical="center" wrapText="1"/>
    </x:xf>
    <x:xf numFmtId="0" fontId="6" fillId="18" xfId="0" applyNumberFormat="1" applyFont="1" applyFill="1" applyBorder="0" applyAlignment="1">
      <x:alignment vertical="center" wrapText="1"/>
    </x:xf>
    <x:xf numFmtId="0" fontId="3" fillId="18" borderId="4" xfId="0" applyNumberFormat="1" applyFont="1" applyFill="1" applyBorder="1" applyAlignment="1">
      <x:alignment vertical="center" wrapText="1"/>
    </x:xf>
    <x:xf numFmtId="201" fontId="3" fillId="18" xfId="0" applyNumberFormat="1" applyFont="1" applyFill="1" applyBorder="0" applyAlignment="1">
      <x:alignment vertical="center" wrapText="1"/>
    </x:xf>
    <x:xf numFmtId="0" fontId="3" fillId="18" xfId="0" applyNumberFormat="1" applyFont="1" applyFill="1" applyBorder="0" applyAlignment="1">
      <x:alignment vertical="center" wrapText="1"/>
    </x:xf>
    <x:xf numFmtId="200" fontId="3" fillId="18" xfId="0" applyNumberFormat="1" applyFont="1" applyFill="1" applyBorder="0" applyAlignment="1">
      <x:alignment vertical="center" wrapText="1"/>
    </x:xf>
    <x:xf numFmtId="200" fontId="3" fillId="2" borderId="0" xfId="0" applyNumberFormat="1" applyFont="1" applyFill="1" applyBorder="1" applyAlignment="1">
      <x:alignment vertical="center" wrapText="1"/>
    </x:xf>
    <x:xf numFmtId="201" fontId="3" fillId="2" borderId="0" xfId="0" applyNumberFormat="1" applyFont="1" applyFill="1" applyBorder="1" applyAlignment="1">
      <x:alignment vertical="center" wrapText="1"/>
    </x:xf>
    <x:xf numFmtId="0" fontId="1" fillId="19" borderId="0" xfId="0" applyNumberFormat="1" applyFont="1" applyFill="1" applyBorder="1" applyAlignment="1">
      <x:alignment vertical="center"/>
    </x:xf>
    <x:xf numFmtId="0" fontId="3" fillId="19" borderId="0" xfId="0" applyNumberFormat="1" applyFont="1" applyFill="1" applyBorder="1" applyAlignment="1">
      <x:alignment vertical="center"/>
    </x:xf>
    <x:xf numFmtId="0" fontId="1" fillId="19" borderId="0" xfId="0" applyNumberFormat="1" applyFont="1" applyFill="1" applyBorder="1" applyAlignment="1">
      <x:alignment vertical="center" wrapText="1"/>
    </x:xf>
    <x:xf numFmtId="200" fontId="1" fillId="19" borderId="0" xfId="0" applyNumberFormat="1" applyFont="1" applyFill="1" applyBorder="1" applyAlignment="1">
      <x:alignment vertical="center" wrapText="1"/>
    </x:xf>
    <x:xf numFmtId="0" fontId="3" fillId="19" borderId="0" xfId="0" applyNumberFormat="1" applyFont="1" applyFill="1" applyBorder="1" applyAlignment="1">
      <x:alignment vertical="center" wrapText="1"/>
    </x:xf>
    <x:xf numFmtId="200" fontId="3" fillId="19"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20" borderId="4" xfId="0" applyNumberFormat="1" applyFont="1" applyFill="1" applyBorder="1" applyAlignment="1">
      <x:alignment vertical="center" wrapText="1"/>
    </x:xf>
    <x:xf numFmtId="201" fontId="3" fillId="20" xfId="0" applyNumberFormat="1" applyFont="1" applyFill="1" applyBorder="0" applyAlignment="1">
      <x:alignment vertical="center" wrapText="1"/>
    </x:xf>
    <x:xf numFmtId="0" fontId="3" fillId="20" xfId="0" applyNumberFormat="1" applyFont="1" applyFill="1" applyBorder="0" applyAlignment="1">
      <x:alignment vertical="center" wrapText="1"/>
    </x:xf>
    <x:xf numFmtId="200" fontId="3" fillId="20" xfId="0" applyNumberFormat="1" applyFont="1" applyFill="1" applyBorder="0" applyAlignment="1">
      <x:alignment vertical="center"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201" fontId="0" fillId="0" borderId="0" xfId="0" applyNumberFormat="1" applyFont="1" applyFill="1" applyBorder="1" applyAlignment="1">
      <x:alignment wrapText="1"/>
    </x:xf>
    <x:xf numFmtId="0" fontId="3" fillId="22" borderId="4" xfId="0" applyNumberFormat="1" applyFont="1" applyFill="1" applyBorder="1" applyAlignment="1">
      <x:alignment vertical="center" wrapText="1"/>
    </x:xf>
    <x:xf numFmtId="201" fontId="3" fillId="22" xfId="0" applyNumberFormat="1" applyFont="1" applyFill="1" applyBorder="0" applyAlignment="1">
      <x:alignment vertical="center" wrapText="1"/>
    </x:xf>
    <x:xf numFmtId="0" fontId="3" fillId="22" xfId="0" applyNumberFormat="1" applyFont="1" applyFill="1" applyBorder="0" applyAlignment="1">
      <x:alignment vertical="center" wrapText="1"/>
    </x:xf>
    <x:xf numFmtId="200" fontId="3" fillId="22" xfId="0" applyNumberFormat="1" applyFont="1" applyFill="1" applyBorder="0" applyAlignment="1">
      <x:alignment vertical="center"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3" fillId="24" borderId="4" xfId="0" applyNumberFormat="1" applyFont="1" applyFill="1" applyBorder="1" applyAlignment="1">
      <x:alignment vertical="center" wrapText="1"/>
    </x:xf>
    <x:xf numFmtId="201" fontId="3" fillId="24" xfId="0" applyNumberFormat="1" applyFont="1" applyFill="1" applyBorder="0" applyAlignment="1">
      <x:alignment vertical="center" wrapText="1"/>
    </x:xf>
    <x:xf numFmtId="0" fontId="3" fillId="24" xfId="0" applyNumberFormat="1" applyFont="1" applyFill="1" applyBorder="0" applyAlignment="1">
      <x:alignment vertical="center" wrapText="1"/>
    </x:xf>
    <x:xf numFmtId="200" fontId="3" fillId="24" xfId="0" applyNumberFormat="1" applyFont="1" applyFill="1" applyBorder="0" applyAlignment="1">
      <x:alignment vertical="center"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6" fillId="26" borderId="4" xfId="0" applyNumberFormat="1" applyFont="1" applyFill="1" applyBorder="1" applyAlignment="1">
      <x:alignment vertical="center" wrapText="1"/>
    </x:xf>
    <x:xf numFmtId="201" fontId="6" fillId="26" xfId="0" applyNumberFormat="1" applyFont="1" applyFill="1" applyBorder="0" applyAlignment="1">
      <x:alignment vertical="center" wrapText="1"/>
    </x:xf>
    <x:xf numFmtId="0" fontId="6" fillId="26" xfId="0" applyNumberFormat="1" applyFont="1" applyFill="1" applyBorder="0" applyAlignment="1">
      <x:alignment vertical="center" wrapText="1"/>
    </x:xf>
    <x:xf numFmtId="0" fontId="3" fillId="26" borderId="4" xfId="0" applyNumberFormat="1" applyFont="1" applyFill="1" applyBorder="1" applyAlignment="1">
      <x:alignment vertical="center" wrapText="1"/>
    </x:xf>
    <x:xf numFmtId="201" fontId="3" fillId="26" xfId="0" applyNumberFormat="1" applyFont="1" applyFill="1" applyBorder="0" applyAlignment="1">
      <x:alignment vertical="center" wrapText="1"/>
    </x:xf>
    <x:xf numFmtId="0" fontId="3" fillId="26" xfId="0" applyNumberFormat="1" applyFont="1" applyFill="1" applyBorder="0" applyAlignment="1">
      <x:alignment vertical="center" wrapText="1"/>
    </x:xf>
    <x:xf numFmtId="200" fontId="6" fillId="26" xfId="0" applyNumberFormat="1" applyFont="1" applyFill="1" applyBorder="0" applyAlignment="1">
      <x:alignment vertical="center" wrapText="1"/>
    </x:xf>
    <x:xf numFmtId="200" fontId="3" fillId="26" xfId="0" applyNumberFormat="1" applyFont="1" applyFill="1" applyBorder="0" applyAlignment="1">
      <x:alignment vertical="center" wrapText="1"/>
    </x:xf>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201" fontId="6" fillId="10" borderId="7" xfId="0" applyNumberFormat="1" applyFont="1" applyFill="1" applyBorder="1" applyAlignment="1">
      <x:alignment vertical="center" wrapText="1"/>
    </x:xf>
    <x:xf numFmtId="0" fontId="6" fillId="28" borderId="4" xfId="0" applyNumberFormat="1" applyFont="1" applyFill="1" applyBorder="1" applyAlignment="1">
      <x:alignment vertical="center" wrapText="1"/>
    </x:xf>
    <x:xf numFmtId="201" fontId="6" fillId="28" xfId="0" applyNumberFormat="1" applyFont="1" applyFill="1" applyBorder="0" applyAlignment="1">
      <x:alignment vertical="center" wrapText="1"/>
    </x:xf>
    <x:xf numFmtId="0" fontId="6" fillId="28" xfId="0" applyNumberFormat="1" applyFont="1" applyFill="1" applyBorder="0" applyAlignment="1">
      <x:alignment vertical="center" wrapText="1"/>
    </x:xf>
    <x:xf numFmtId="0" fontId="3" fillId="28" borderId="4" xfId="0" applyNumberFormat="1" applyFont="1" applyFill="1" applyBorder="1" applyAlignment="1">
      <x:alignment vertical="center" wrapText="1"/>
    </x:xf>
    <x:xf numFmtId="201" fontId="3" fillId="28" xfId="0" applyNumberFormat="1" applyFont="1" applyFill="1" applyBorder="0" applyAlignment="1">
      <x:alignment vertical="center" wrapText="1"/>
    </x:xf>
    <x:xf numFmtId="0" fontId="3" fillId="28" xfId="0" applyNumberFormat="1" applyFont="1" applyFill="1" applyBorder="0" applyAlignment="1">
      <x:alignment vertical="center" wrapText="1"/>
    </x:xf>
    <x:xf numFmtId="0" fontId="9" fillId="3" borderId="4" xfId="0" applyNumberFormat="1" applyFont="1" applyFill="1" applyBorder="1" applyAlignment="1">
      <x:alignment vertical="center" wrapText="1"/>
    </x:xf>
    <x:xf numFmtId="201" fontId="9" fillId="3" xfId="0" applyNumberFormat="1" applyFont="1" applyFill="1" applyBorder="0" applyAlignment="1">
      <x:alignment vertical="center" wrapText="1"/>
    </x:xf>
    <x:xf numFmtId="0" fontId="9" fillId="3" xfId="0" applyNumberFormat="1" applyFont="1" applyFill="1" applyBorder="0" applyAlignment="1">
      <x:alignment vertical="center" wrapText="1"/>
    </x:xf>
    <x:xf numFmtId="0" fontId="0" fillId="29" borderId="0" xfId="0" applyNumberFormat="1" applyFont="1" applyFill="1" applyBorder="1"/>
    <x:xf numFmtId="0" fontId="3" fillId="29" borderId="0" xfId="0" applyNumberFormat="1" applyFont="1" applyFill="1" applyBorder="1"/>
    <x:xf numFmtId="0" fontId="3" fillId="29" borderId="0" xfId="0" applyNumberFormat="1" applyFont="1" applyFill="1" applyBorder="1" applyAlignment="1">
      <x:alignment wrapText="1"/>
    </x:xf>
    <x:xf numFmtId="0" fontId="3" fillId="30" borderId="4" xfId="0" applyNumberFormat="1" applyFont="1" applyFill="1" applyBorder="1" applyAlignment="1">
      <x:alignment vertical="center" wrapText="1"/>
    </x:xf>
    <x:xf numFmtId="201" fontId="3" fillId="30" xfId="0" applyNumberFormat="1" applyFont="1" applyFill="1" applyBorder="0" applyAlignment="1">
      <x:alignment vertical="center" wrapText="1"/>
    </x:xf>
    <x:xf numFmtId="0" fontId="3" fillId="30" xfId="0" applyNumberFormat="1" applyFont="1" applyFill="1" applyBorder="0" applyAlignment="1">
      <x:alignment vertical="center" wrapText="1"/>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c6e24bbdb14e9b" /><Relationship Type="http://schemas.openxmlformats.org/officeDocument/2006/relationships/theme" Target="/xl/theme/theme1.xml" Id="R539d77771e5a4b25" /><Relationship Type="http://schemas.openxmlformats.org/officeDocument/2006/relationships/sharedStrings" Target="/xl/sharedStrings.xml" Id="R9cab01be2f2e443a" /><Relationship Type="http://schemas.openxmlformats.org/officeDocument/2006/relationships/worksheet" Target="/xl/worksheets/sheet1.xml" Id="Ra8714f0ffee949fe" /><Relationship Type="http://schemas.openxmlformats.org/officeDocument/2006/relationships/worksheet" Target="/xl/worksheets/sheet2.xml" Id="R95736d4aaddf4fff" /><Relationship Type="http://schemas.openxmlformats.org/officeDocument/2006/relationships/worksheet" Target="/xl/worksheets/sheet3.xml" Id="Rf867912933864b09" /><Relationship Type="http://schemas.openxmlformats.org/officeDocument/2006/relationships/worksheet" Target="/xl/worksheets/sheet4.xml" Id="Rbfc9847b51f04f8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0da2afa31b54948" /><Relationship Type="http://schemas.openxmlformats.org/officeDocument/2006/relationships/chart" Target="/xl/drawings/charts/chart2.xml" Id="R1b4b96a18045418b" /><Relationship Type="http://schemas.openxmlformats.org/officeDocument/2006/relationships/chart" Target="/xl/drawings/charts/chart3.xml" Id="Rdd82942c26f9416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报告覆盖分层（主体数）</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主体数</c:v>
          </c:tx>
          <c:spPr>
            <a:solidFill xmlns:a="http://schemas.openxmlformats.org/drawingml/2006/main">
              <a:srgbClr val="2A7193"/>
            </a:solidFill>
          </c:spPr>
          <c:cat>
            <c:strRef>
              <c:f>'图表汇总'!$A$6:$A$8</c:f>
              <c:strCache>
                <c:ptCount val="0"/>
              </c:strCache>
            </c:strRef>
          </c:cat>
          <c:val>
            <c:numRef>
              <c:f>'图表汇总'!$B$6:$B$8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重点产品证据阶段（产品组数）</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产品组数</c:v>
          </c:tx>
          <c:spPr>
            <a:solidFill xmlns:a="http://schemas.openxmlformats.org/drawingml/2006/main">
              <a:srgbClr val="287591"/>
            </a:solidFill>
          </c:spPr>
          <c:cat>
            <c:strRef>
              <c:f>'图表汇总'!$A$13:$A$23</c:f>
              <c:strCache>
                <c:ptCount val="0"/>
              </c:strCache>
            </c:strRef>
          </c:cat>
          <c:val>
            <c:numRef>
              <c:f>'图表汇总'!$B$13:$B$23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BrainChip半年收入构成（美元）</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2025 H1美元</c:v>
          </c:tx>
          <c:spPr>
            <a:solidFill xmlns:a="http://schemas.openxmlformats.org/drawingml/2006/main">
              <a:srgbClr val="2A7193"/>
            </a:solidFill>
          </c:spPr>
          <c:cat>
            <c:strRef>
              <c:f>'图表汇总'!$A$26:$A$28</c:f>
              <c:strCache>
                <c:ptCount val="0"/>
              </c:strCache>
            </c:strRef>
          </c:cat>
          <c:val>
            <c:numRef>
              <c:f>'图表汇总'!$B$26:$B$28</c:f>
              <c:numCache>
                <c:formatCode>#,##0</c:formatCode>
                <c:ptCount val="0"/>
              </c:numCache>
            </c:numRef>
          </c:val>
        </c:ser>
        <c:ser>
          <c:idx val="1"/>
          <c:order val="1"/>
          <c:tx>
            <c:v>2026 H1美元</c:v>
          </c:tx>
          <c:spPr>
            <a:solidFill xmlns:a="http://schemas.openxmlformats.org/drawingml/2006/main">
              <a:srgbClr val="B57933"/>
            </a:solidFill>
          </c:spPr>
          <c:cat>
            <c:strRef>
              <c:f>'图表汇总'!$A$26:$A$28</c:f>
              <c:strCache>
                <c:ptCount val="0"/>
              </c:strCache>
            </c:strRef>
          </c:cat>
          <c:val>
            <c:numRef>
              <c:f>'图表汇总'!$C$26:$C$28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4</xdr:row>
      <xdr:rowOff>0</xdr:rowOff>
    </xdr:from>
    <xdr:to>
      <xdr:col>12</xdr:col>
      <xdr:colOff>0</xdr:colOff>
      <xdr:row>11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da2afa31b54948"/>
        </a:graphicData>
      </a:graphic>
    </xdr:graphicFrame>
    <xdr:clientData/>
  </xdr:twoCellAnchor>
  <xdr:twoCellAnchor>
    <xdr:from>
      <xdr:col>5</xdr:col>
      <xdr:colOff>0</xdr:colOff>
      <xdr:row>12</xdr:row>
      <xdr:rowOff>0</xdr:rowOff>
    </xdr:from>
    <xdr:to>
      <xdr:col>12</xdr:col>
      <xdr:colOff>0</xdr:colOff>
      <xdr:row>23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4b96a18045418b"/>
        </a:graphicData>
      </a:graphic>
    </xdr:graphicFrame>
    <xdr:clientData/>
  </xdr:twoCellAnchor>
  <xdr:twoCellAnchor>
    <xdr:from>
      <xdr:col>5</xdr:col>
      <xdr:colOff>0</xdr:colOff>
      <xdr:row>24</xdr:row>
      <xdr:rowOff>0</xdr:rowOff>
    </xdr:from>
    <xdr:to>
      <xdr:col>12</xdr:col>
      <xdr:colOff>0</xdr:colOff>
      <xdr:row>38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82942c26f9416c"/>
        </a:graphicData>
      </a:graphic>
    </xdr:graphicFrame>
    <xdr:clientData/>
  </xdr:twoCellAnchor>
</xdr:wsDr>
</file>

<file path=xl/tables/table1.xml><?xml version="1.0" encoding="utf-8"?>
<x:table xmlns:x="http://schemas.openxmlformats.org/spreadsheetml/2006/main" id="1" name="CompanyEvidence" displayName="CompanyEvidence" ref="A1:I39" headerRowCount="1" totalsRowCount="0" totalsRowShown="0">
  <x:tableColumns count="9">
    <x:tableColumn id="1" name="编号"/>
    <x:tableColumn id="2" name="主体"/>
    <x:tableColumn id="3" name="报告分层"/>
    <x:tableColumn id="4" name="路线与产品"/>
    <x:tableColumn id="5" name="最新证据"/>
    <x:tableColumn id="6" name="阶段与缺口"/>
    <x:tableColumn id="7" name="来源状态"/>
    <x:tableColumn id="8" name="原始URL"/>
    <x:tableColumn id="9" name="检索日期"/>
  </x:tableColumns>
  <x:tableStyleInfo name="TableStyleMedium2" showFirstColumn="0" showLastColumn="0" showRowStripes="1" showColumnStripes="0"/>
</x:table>
</file>

<file path=xl/tables/table2.xml><?xml version="1.0" encoding="utf-8"?>
<x:table xmlns:x="http://schemas.openxmlformats.org/spreadsheetml/2006/main" id="2" name="ProductEvidence" displayName="ProductEvidence" ref="A1:J43" headerRowCount="1" totalsRowCount="0" totalsRowShown="0">
  <x:tableColumns count="10">
    <x:tableColumn id="1" name="编号"/>
    <x:tableColumn id="2" name="主体"/>
    <x:tableColumn id="3" name="产品组"/>
    <x:tableColumn id="4" name="证据阶段"/>
    <x:tableColumn id="5" name="证据类型"/>
    <x:tableColumn id="6" name="发布日期"/>
    <x:tableColumn id="7" name="事件日期"/>
    <x:tableColumn id="8" name="检索日期"/>
    <x:tableColumn id="9" name="边界与待核"/>
    <x:tableColumn id="10" name="原始URL"/>
  </x:tableColumns>
  <x:tableStyleInfo name="TableStyleMedium2" showFirstColumn="0" showLastColumn="0" showRowStripes="1" showColumnStripes="0"/>
</x:table>
</file>

<file path=xl/tables/table3.xml><?xml version="1.0" encoding="utf-8"?>
<x:table xmlns:x="http://schemas.openxmlformats.org/spreadsheetml/2006/main" id="3" name="EventEvidence" displayName="EventEvidence" ref="A1:G31" headerRowCount="1" totalsRowCount="0" totalsRowShown="0">
  <x:tableColumns count="7">
    <x:tableColumn id="1" name="编号"/>
    <x:tableColumn id="2" name="事件日期"/>
    <x:tableColumn id="3" name="发布日期"/>
    <x:tableColumn id="4" name="主体"/>
    <x:tableColumn id="5" name="事件"/>
    <x:tableColumn id="6" name="证据边界"/>
    <x:tableColumn id="7" name="原始URL"/>
  </x:tableColumns>
  <x:tableStyleInfo name="TableStyleMedium2" showFirstColumn="0" showLastColumn="0" showRowStripes="1" showColumnStripes="0"/>
</x:table>
</file>

<file path=xl/tables/table4.xml><?xml version="1.0" encoding="utf-8"?>
<x:table xmlns:x="http://schemas.openxmlformats.org/spreadsheetml/2006/main" id="4" name="TactileResearch" displayName="TactileResearch" ref="A50:I56" headerRowCount="1" totalsRowCount="0" totalsRowShown="0">
  <x:tableColumns count="9">
    <x:tableColumn id="1" name="研究编号"/>
    <x:tableColumn id="2" name="研究主体"/>
    <x:tableColumn id="3" name="路线"/>
    <x:tableColumn id="4" name="发布日期"/>
    <x:tableColumn id="5" name="证据类型"/>
    <x:tableColumn id="6" name="作者报告指标"/>
    <x:tableColumn id="7" name="边界"/>
    <x:tableColumn id="8" name="原始URL"/>
    <x:tableColumn id="9" name="检索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a340d1e09ab4669" /></Relationships>
</file>

<file path=xl/worksheets/_rels/sheet2.xml.rels>&#65279;<?xml version="1.0" encoding="utf-8"?><Relationships xmlns="http://schemas.openxmlformats.org/package/2006/relationships"><Relationship Type="http://schemas.openxmlformats.org/officeDocument/2006/relationships/table" Target="/xl/tables/table1.xml" Id="Rf45ebfc9427f4f76" /></Relationships>
</file>

<file path=xl/worksheets/_rels/sheet3.xml.rels>&#65279;<?xml version="1.0" encoding="utf-8"?><Relationships xmlns="http://schemas.openxmlformats.org/package/2006/relationships"><Relationship Type="http://schemas.openxmlformats.org/officeDocument/2006/relationships/table" Target="/xl/tables/table2.xml" Id="R2f61a696b93e45f0" /></Relationships>
</file>

<file path=xl/worksheets/_rels/sheet4.xml.rels>&#65279;<?xml version="1.0" encoding="utf-8"?><Relationships xmlns="http://schemas.openxmlformats.org/package/2006/relationships"><Relationship Type="http://schemas.openxmlformats.org/officeDocument/2006/relationships/table" Target="/xl/tables/table3.xml" Id="R4921207f21dc4a2d" /><Relationship Type="http://schemas.openxmlformats.org/officeDocument/2006/relationships/table" Target="/xl/tables/table4.xml" Id="Rbfc7aa281e3a439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9" hidden="0" customWidth="1"/>
    <x:col min="3" max="3" width="19" hidden="0" customWidth="1"/>
    <x:col min="4" max="4" width="3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ht="25" customHeight="1">
      <x:c r="A1" s="2"/>
      <x:c r="B1" s="2"/>
      <x:c r="C1" s="2"/>
      <x:c r="D1" s="2"/>
      <x:c r="E1" s="2"/>
      <x:c r="F1" s="2"/>
      <x:c r="G1" s="2"/>
      <x:c r="H1" s="2"/>
      <x:c r="I1" s="2"/>
      <x:c r="J1" s="2"/>
      <x:c r="K1" s="2"/>
      <x:c r="L1" s="2"/>
      <x:c r="M1" s="2"/>
      <x:c r="N1" s="2"/>
      <x:c r="O1" s="2"/>
    </x:row>
    <x:row r="2" ht="25" customHeight="1">
      <x:c r="A2" s="7" t="str">
        <x:v>类脑市场汇总与追溯</x:v>
      </x:c>
      <x:c r="B2" s="2"/>
      <x:c r="C2" s="2"/>
      <x:c r="D2" s="2"/>
      <x:c r="E2" s="2"/>
      <x:c r="F2" s="2"/>
      <x:c r="G2" s="2"/>
      <x:c r="H2" s="2"/>
      <x:c r="I2" s="2"/>
      <x:c r="J2" s="2"/>
      <x:c r="K2" s="2"/>
      <x:c r="L2" s="2"/>
      <x:c r="M2" s="2"/>
      <x:c r="N2" s="2"/>
      <x:c r="O2" s="2"/>
    </x:row>
    <x:row r="3" ht="25" customHeight="1">
      <x:c r="A3" s="2" t="str">
        <x:v>2026-10-03核心SNN、多卡调度与常开感知复核。38个主体、42组产品、30项事件、6项科研记录。样本覆盖，不代表市场份额。</x:v>
      </x:c>
      <x:c r="B3" s="2"/>
      <x:c r="C3" s="2"/>
      <x:c r="D3" s="2"/>
      <x:c r="E3" s="2"/>
      <x:c r="F3" s="2"/>
      <x:c r="G3" s="2"/>
      <x:c r="H3" s="2"/>
      <x:c r="I3" s="2"/>
      <x:c r="J3" s="2"/>
      <x:c r="K3" s="2"/>
      <x:c r="L3" s="2"/>
      <x:c r="M3" s="2"/>
      <x:c r="N3" s="2"/>
      <x:c r="O3" s="2"/>
    </x:row>
    <x:row r="4" ht="25" customHeight="1">
      <x:c r="A4" s="2"/>
      <x:c r="B4" s="2"/>
      <x:c r="C4" s="2"/>
      <x:c r="D4" s="2"/>
      <x:c r="E4" s="2"/>
      <x:c r="F4" s="2"/>
      <x:c r="G4" s="2"/>
      <x:c r="H4" s="2"/>
      <x:c r="I4" s="2"/>
      <x:c r="J4" s="2"/>
      <x:c r="K4" s="2"/>
      <x:c r="L4" s="2"/>
      <x:c r="M4" s="2"/>
      <x:c r="N4" s="2"/>
      <x:c r="O4" s="2"/>
    </x:row>
    <x:row r="5" ht="30" customHeight="1">
      <x:c r="A5" s="9" t="str">
        <x:v>报告分层</x:v>
      </x:c>
      <x:c r="B5" s="9" t="str">
        <x:v>主体数</x:v>
      </x:c>
      <x:c r="C5" s="2"/>
      <x:c r="D5" s="2"/>
      <x:c r="E5" s="2"/>
      <x:c r="F5" s="2"/>
      <x:c r="G5" s="2"/>
      <x:c r="H5" s="2"/>
      <x:c r="I5" s="2"/>
      <x:c r="J5" s="2"/>
      <x:c r="K5" s="2"/>
      <x:c r="L5" s="2"/>
      <x:c r="M5" s="2"/>
      <x:c r="N5" s="2"/>
      <x:c r="O5" s="2"/>
    </x:row>
    <x:row r="6" ht="25" customHeight="1">
      <x:c r="A6" s="2" t="str">
        <x:v>硬件与平台</x:v>
      </x:c>
      <x:c r="B6" s="2" t="n">
        <x:v>11</x:v>
      </x:c>
      <x:c r="C6" s="2"/>
      <x:c r="D6" s="2"/>
      <x:c r="E6" s="2"/>
      <x:c r="F6" s="2"/>
      <x:c r="G6" s="2"/>
      <x:c r="H6" s="2"/>
      <x:c r="I6" s="2"/>
      <x:c r="J6" s="2"/>
      <x:c r="K6" s="2"/>
      <x:c r="L6" s="2"/>
      <x:c r="M6" s="2"/>
      <x:c r="N6" s="2"/>
      <x:c r="O6" s="2"/>
    </x:row>
    <x:row r="7" ht="25" customHeight="1">
      <x:c r="A7" s="2" t="str">
        <x:v>模型与系统</x:v>
      </x:c>
      <x:c r="B7" s="2" t="n">
        <x:v>7</x:v>
      </x:c>
      <x:c r="C7" s="2"/>
      <x:c r="D7" s="2"/>
      <x:c r="E7" s="2"/>
      <x:c r="F7" s="2"/>
      <x:c r="G7" s="2"/>
      <x:c r="H7" s="2"/>
      <x:c r="I7" s="2"/>
      <x:c r="J7" s="2"/>
      <x:c r="K7" s="2"/>
      <x:c r="L7" s="2"/>
      <x:c r="M7" s="2"/>
      <x:c r="N7" s="2"/>
      <x:c r="O7" s="2"/>
    </x:row>
    <x:row r="8" ht="25" customHeight="1">
      <x:c r="A8" s="2" t="str">
        <x:v>相邻替代</x:v>
      </x:c>
      <x:c r="B8" s="2" t="n">
        <x:v>20</x:v>
      </x:c>
      <x:c r="C8" s="2"/>
      <x:c r="D8" s="2"/>
      <x:c r="E8" s="2"/>
      <x:c r="F8" s="2"/>
      <x:c r="G8" s="2"/>
      <x:c r="H8" s="2"/>
      <x:c r="I8" s="2"/>
      <x:c r="J8" s="2"/>
      <x:c r="K8" s="2"/>
      <x:c r="L8" s="2"/>
      <x:c r="M8" s="2"/>
      <x:c r="N8" s="2"/>
      <x:c r="O8" s="2"/>
    </x:row>
    <x:row r="9" ht="25" customHeight="1">
      <x:c r="A9" s="2"/>
      <x:c r="B9" s="2"/>
      <x:c r="C9" s="2"/>
      <x:c r="D9" s="2"/>
      <x:c r="E9" s="2"/>
      <x:c r="F9" s="2"/>
      <x:c r="G9" s="2"/>
      <x:c r="H9" s="2"/>
      <x:c r="I9" s="2"/>
      <x:c r="J9" s="2"/>
      <x:c r="K9" s="2"/>
      <x:c r="L9" s="2"/>
      <x:c r="M9" s="2"/>
      <x:c r="N9" s="2"/>
      <x:c r="O9" s="2"/>
    </x:row>
    <x:row r="10" ht="25" customHeight="1">
      <x:c r="A10" s="2"/>
      <x:c r="B10" s="2"/>
      <x:c r="C10" s="2"/>
      <x:c r="D10" s="2"/>
      <x:c r="E10" s="2"/>
      <x:c r="F10" s="2"/>
      <x:c r="G10" s="2"/>
      <x:c r="H10" s="2"/>
      <x:c r="I10" s="2"/>
      <x:c r="J10" s="2"/>
      <x:c r="K10" s="2"/>
      <x:c r="L10" s="2"/>
      <x:c r="M10" s="2"/>
      <x:c r="N10" s="2"/>
      <x:c r="O10" s="2"/>
    </x:row>
    <x:row r="11" ht="25" customHeight="1">
      <x:c r="A11" s="2"/>
      <x:c r="B11" s="2"/>
      <x:c r="C11" s="2"/>
      <x:c r="D11" s="2"/>
      <x:c r="E11" s="2"/>
      <x:c r="F11" s="2"/>
      <x:c r="G11" s="2"/>
      <x:c r="H11" s="2"/>
      <x:c r="I11" s="2"/>
      <x:c r="J11" s="2"/>
      <x:c r="K11" s="2"/>
      <x:c r="L11" s="2"/>
      <x:c r="M11" s="2"/>
      <x:c r="N11" s="2"/>
      <x:c r="O11" s="2"/>
    </x:row>
    <x:row r="12" ht="30" customHeight="1">
      <x:c r="A12" s="9" t="str">
        <x:v>重点产品证据阶段</x:v>
      </x:c>
      <x:c r="B12" s="9" t="str">
        <x:v>产品组数</x:v>
      </x:c>
      <x:c r="C12" s="2"/>
      <x:c r="D12" s="2"/>
      <x:c r="E12" s="2"/>
      <x:c r="F12" s="2"/>
      <x:c r="G12" s="2"/>
      <x:c r="H12" s="2"/>
      <x:c r="I12" s="2"/>
      <x:c r="J12" s="2"/>
      <x:c r="K12" s="2"/>
      <x:c r="L12" s="2"/>
      <x:c r="M12" s="2"/>
      <x:c r="N12" s="2"/>
      <x:c r="O12" s="2"/>
    </x:row>
    <x:row r="13" ht="25" customHeight="1">
      <x:c r="A13" s="2" t="str">
        <x:v>方案／研发</x:v>
      </x:c>
      <x:c r="B13" s="2" t="n">
        <x:f>COUNTIF('产品阶段'!$D$2:$D$43,A13)</x:f>
        <x:v>8</x:v>
      </x:c>
      <x:c r="C13" s="2"/>
      <x:c r="D13" s="2"/>
      <x:c r="E13" s="2"/>
      <x:c r="F13" s="2"/>
      <x:c r="G13" s="2"/>
      <x:c r="H13" s="2"/>
      <x:c r="I13" s="2"/>
      <x:c r="J13" s="2"/>
      <x:c r="K13" s="2"/>
      <x:c r="L13" s="2"/>
      <x:c r="M13" s="2"/>
      <x:c r="N13" s="2"/>
      <x:c r="O13" s="2"/>
    </x:row>
    <x:row r="14" ht="25" customHeight="1">
      <x:c r="A14" s="2" t="str">
        <x:v>研究／原型</x:v>
      </x:c>
      <x:c r="B14" s="2" t="n">
        <x:f>COUNTIF('产品阶段'!$D$2:$D$43,A14)</x:f>
        <x:v>1</x:v>
      </x:c>
      <x:c r="C14" s="2"/>
      <x:c r="D14" s="2"/>
      <x:c r="E14" s="2"/>
      <x:c r="F14" s="2"/>
      <x:c r="G14" s="2"/>
      <x:c r="H14" s="2"/>
      <x:c r="I14" s="2"/>
      <x:c r="J14" s="2"/>
      <x:c r="K14" s="2"/>
      <x:c r="L14" s="2"/>
      <x:c r="M14" s="2"/>
      <x:c r="N14" s="2"/>
      <x:c r="O14" s="2"/>
    </x:row>
    <x:row r="15" ht="25" customHeight="1">
      <x:c r="A15" s="2" t="str">
        <x:v>工程样片</x:v>
      </x:c>
      <x:c r="B15" s="2" t="n">
        <x:f>COUNTIF('产品阶段'!$D$2:$D$43,A15)</x:f>
        <x:v>2</x:v>
      </x:c>
      <x:c r="C15" s="2"/>
      <x:c r="D15" s="2"/>
      <x:c r="E15" s="2"/>
      <x:c r="F15" s="2"/>
      <x:c r="G15" s="2"/>
      <x:c r="H15" s="2"/>
      <x:c r="I15" s="2"/>
      <x:c r="J15" s="2"/>
      <x:c r="K15" s="2"/>
      <x:c r="L15" s="2"/>
      <x:c r="M15" s="2"/>
      <x:c r="N15" s="2"/>
      <x:c r="O15" s="2"/>
    </x:row>
    <x:row r="16" ht="25" customHeight="1">
      <x:c r="A16" s="2" t="str">
        <x:v>IP／商务接洽</x:v>
      </x:c>
      <x:c r="B16" s="2" t="n">
        <x:f>COUNTIF('产品阶段'!$D$2:$D$43,A16)</x:f>
        <x:v>5</x:v>
      </x:c>
      <x:c r="C16" s="2"/>
      <x:c r="D16" s="2"/>
      <x:c r="E16" s="2"/>
      <x:c r="F16" s="2"/>
      <x:c r="G16" s="2"/>
      <x:c r="H16" s="2"/>
      <x:c r="I16" s="2"/>
      <x:c r="J16" s="2"/>
      <x:c r="K16" s="2"/>
      <x:c r="L16" s="2"/>
      <x:c r="M16" s="2"/>
      <x:c r="N16" s="2"/>
      <x:c r="O16" s="2"/>
    </x:row>
    <x:row r="17" ht="25" customHeight="1">
      <x:c r="A17" s="2" t="str">
        <x:v>开发平台</x:v>
      </x:c>
      <x:c r="B17" s="2" t="n">
        <x:f>COUNTIF('产品阶段'!$D$2:$D$43,A17)</x:f>
        <x:v>3</x:v>
      </x:c>
      <x:c r="C17" s="2"/>
      <x:c r="D17" s="2"/>
      <x:c r="E17" s="2"/>
      <x:c r="F17" s="2"/>
      <x:c r="G17" s="2"/>
      <x:c r="H17" s="2"/>
      <x:c r="I17" s="2"/>
      <x:c r="J17" s="2"/>
      <x:c r="K17" s="2"/>
      <x:c r="L17" s="2"/>
      <x:c r="M17" s="2"/>
      <x:c r="N17" s="2"/>
      <x:c r="O17" s="2"/>
    </x:row>
    <x:row r="18" ht="25" customHeight="1">
      <x:c r="A18" s="2" t="str">
        <x:v>客户评估／模块</x:v>
      </x:c>
      <x:c r="B18" s="2" t="n">
        <x:f>COUNTIF('产品阶段'!$D$2:$D$43,A18)</x:f>
        <x:v>5</x:v>
      </x:c>
      <x:c r="C18" s="2"/>
      <x:c r="D18" s="2"/>
      <x:c r="E18" s="2"/>
      <x:c r="F18" s="2"/>
      <x:c r="G18" s="2"/>
      <x:c r="H18" s="2"/>
      <x:c r="I18" s="2"/>
      <x:c r="J18" s="2"/>
      <x:c r="K18" s="2"/>
      <x:c r="L18" s="2"/>
      <x:c r="M18" s="2"/>
      <x:c r="N18" s="2"/>
      <x:c r="O18" s="2"/>
    </x:row>
    <x:row r="19" ht="25" customHeight="1">
      <x:c r="A19" s="2" t="str">
        <x:v>可采购硬件</x:v>
      </x:c>
      <x:c r="B19" s="2" t="n">
        <x:f>COUNTIF('产品阶段'!$D$2:$D$43,A19)</x:f>
        <x:v>8</x:v>
      </x:c>
      <x:c r="C19" s="2"/>
      <x:c r="D19" s="2"/>
      <x:c r="E19" s="2"/>
      <x:c r="F19" s="2"/>
      <x:c r="G19" s="2"/>
      <x:c r="H19" s="2"/>
      <x:c r="I19" s="2"/>
      <x:c r="J19" s="2"/>
      <x:c r="K19" s="2"/>
      <x:c r="L19" s="2"/>
      <x:c r="M19" s="2"/>
      <x:c r="N19" s="2"/>
      <x:c r="O19" s="2"/>
    </x:row>
    <x:row r="20" ht="25" customHeight="1">
      <x:c r="A20" s="2" t="str">
        <x:v>商品页／售罄</x:v>
      </x:c>
      <x:c r="B20" s="2" t="n">
        <x:f>COUNTIF('产品阶段'!$D$2:$D$43,A20)</x:f>
        <x:v>1</x:v>
      </x:c>
      <x:c r="C20" s="2"/>
      <x:c r="D20" s="2"/>
      <x:c r="E20" s="2"/>
      <x:c r="F20" s="2"/>
      <x:c r="G20" s="2"/>
      <x:c r="H20" s="2"/>
      <x:c r="I20" s="2"/>
      <x:c r="J20" s="2"/>
      <x:c r="K20" s="2"/>
      <x:c r="L20" s="2"/>
      <x:c r="M20" s="2"/>
      <x:c r="N20" s="2"/>
      <x:c r="O20" s="2"/>
    </x:row>
    <x:row r="21" ht="25" customHeight="1">
      <x:c r="A21" s="2" t="str">
        <x:v>生产／部署声明</x:v>
      </x:c>
      <x:c r="B21" s="2" t="n">
        <x:f>COUNTIF('产品阶段'!$D$2:$D$43,A21)</x:f>
        <x:v>6</x:v>
      </x:c>
      <x:c r="C21" s="2"/>
      <x:c r="D21" s="2"/>
      <x:c r="E21" s="2"/>
      <x:c r="F21" s="2"/>
      <x:c r="G21" s="2"/>
      <x:c r="H21" s="2"/>
      <x:c r="I21" s="2"/>
      <x:c r="J21" s="2"/>
      <x:c r="K21" s="2"/>
      <x:c r="L21" s="2"/>
      <x:c r="M21" s="2"/>
      <x:c r="N21" s="2"/>
      <x:c r="O21" s="2"/>
    </x:row>
    <x:row r="22" ht="25" customHeight="1">
      <x:c r="A22" s="2" t="str">
        <x:v>发布／演示</x:v>
      </x:c>
      <x:c r="B22" s="2" t="n">
        <x:f>COUNTIF('产品阶段'!$D$2:$D$43,A22)</x:f>
        <x:v>2</x:v>
      </x:c>
      <x:c r="C22" s="2"/>
      <x:c r="D22" s="2"/>
      <x:c r="E22" s="2"/>
      <x:c r="F22" s="2"/>
      <x:c r="G22" s="2"/>
      <x:c r="H22" s="2"/>
      <x:c r="I22" s="2"/>
      <x:c r="J22" s="2"/>
      <x:c r="K22" s="2"/>
      <x:c r="L22" s="2"/>
      <x:c r="M22" s="2"/>
      <x:c r="N22" s="2"/>
      <x:c r="O22" s="2"/>
    </x:row>
    <x:row r="23" ht="25" customHeight="1">
      <x:c r="A23" s="2" t="str">
        <x:v>已签公共采购合同／科研部署</x:v>
      </x:c>
      <x:c r="B23" s="2" t="n">
        <x:f>COUNTIF('产品阶段'!$D$2:$D$43,A23)</x:f>
        <x:v>1</x:v>
      </x:c>
      <x:c r="C23" s="2"/>
      <x:c r="D23" s="2"/>
      <x:c r="E23" s="2"/>
      <x:c r="F23" s="2"/>
      <x:c r="G23" s="2"/>
      <x:c r="H23" s="2"/>
      <x:c r="I23" s="2"/>
      <x:c r="J23" s="2"/>
      <x:c r="K23" s="2"/>
      <x:c r="L23" s="2"/>
      <x:c r="M23" s="2"/>
      <x:c r="N23" s="2"/>
      <x:c r="O23" s="2"/>
    </x:row>
    <x:row r="24" ht="25" customHeight="1">
      <x:c r="A24" s="2"/>
      <x:c r="B24" s="2"/>
      <x:c r="C24" s="2"/>
      <x:c r="D24" s="2"/>
      <x:c r="E24" s="2"/>
      <x:c r="F24" s="2"/>
      <x:c r="G24" s="2"/>
      <x:c r="H24" s="2"/>
      <x:c r="I24" s="2"/>
      <x:c r="J24" s="2"/>
      <x:c r="K24" s="2"/>
      <x:c r="L24" s="2"/>
      <x:c r="M24" s="2"/>
      <x:c r="N24" s="2"/>
      <x:c r="O24" s="2"/>
    </x:row>
    <x:row r="25" ht="30" customHeight="1">
      <x:c r="A25" s="9" t="str">
        <x:v>收入构成</x:v>
      </x:c>
      <x:c r="B25" s="9" t="str">
        <x:v>2025 H1美元</x:v>
      </x:c>
      <x:c r="C25" s="9" t="str">
        <x:v>2026 H1美元</x:v>
      </x:c>
      <x:c r="D25" s="9" t="str">
        <x:v>2026占比</x:v>
      </x:c>
      <x:c r="E25" s="2"/>
      <x:c r="F25" s="2"/>
      <x:c r="G25" s="2"/>
      <x:c r="H25" s="2"/>
      <x:c r="I25" s="2"/>
      <x:c r="J25" s="2"/>
      <x:c r="K25" s="2"/>
      <x:c r="L25" s="2"/>
      <x:c r="M25" s="2"/>
      <x:c r="N25" s="2"/>
      <x:c r="O25" s="2"/>
    </x:row>
    <x:row r="26" ht="25" customHeight="1">
      <x:c r="A26" s="2" t="str">
        <x:v>许可</x:v>
      </x:c>
      <x:c r="B26" s="5" t="n">
        <x:f>'事件与财务'!B35</x:f>
        <x:v>0</x:v>
      </x:c>
      <x:c r="C26" s="5" t="n">
        <x:f>'事件与财务'!C35</x:f>
        <x:v>613826</x:v>
      </x:c>
      <x:c r="D26" s="6" t="n">
        <x:f>C26/'事件与财务'!C38</x:f>
        <x:v>0.5020065508343932</x:v>
      </x:c>
      <x:c r="E26" s="2"/>
      <x:c r="F26" s="2"/>
      <x:c r="G26" s="2"/>
      <x:c r="H26" s="2"/>
      <x:c r="I26" s="2"/>
      <x:c r="J26" s="2"/>
      <x:c r="K26" s="2"/>
      <x:c r="L26" s="2"/>
      <x:c r="M26" s="2"/>
      <x:c r="N26" s="2"/>
      <x:c r="O26" s="2"/>
    </x:row>
    <x:row r="27" ht="25" customHeight="1">
      <x:c r="A27" s="2" t="str">
        <x:v>产品</x:v>
      </x:c>
      <x:c r="B27" s="5" t="n">
        <x:f>'事件与财务'!B36</x:f>
        <x:v>19184</x:v>
      </x:c>
      <x:c r="C27" s="5" t="n">
        <x:f>'事件与财务'!C36</x:f>
        <x:v>110362</x:v>
      </x:c>
      <x:c r="D27" s="6" t="n">
        <x:f>C27/'事件与财务'!C38</x:f>
        <x:v>0.09025757619127454</x:v>
      </x:c>
      <x:c r="E27" s="2"/>
      <x:c r="F27" s="2"/>
      <x:c r="G27" s="2"/>
      <x:c r="H27" s="2"/>
      <x:c r="I27" s="2"/>
      <x:c r="J27" s="2"/>
      <x:c r="K27" s="2"/>
      <x:c r="L27" s="2"/>
      <x:c r="M27" s="2"/>
      <x:c r="N27" s="2"/>
      <x:c r="O27" s="2"/>
    </x:row>
    <x:row r="28" ht="25" customHeight="1">
      <x:c r="A28" s="2" t="str">
        <x:v>开发服务</x:v>
      </x:c>
      <x:c r="B28" s="5" t="n">
        <x:f>'事件与财务'!B37</x:f>
        <x:v>1004395</x:v>
      </x:c>
      <x:c r="C28" s="5" t="n">
        <x:f>'事件与财务'!C37</x:f>
        <x:v>498557</x:v>
      </x:c>
      <x:c r="D28" s="6" t="n">
        <x:f>C28/'事件与财务'!C38</x:f>
        <x:v>0.40773587297433234</x:v>
      </x:c>
      <x:c r="E28" s="2"/>
      <x:c r="F28" s="2"/>
      <x:c r="G28" s="2"/>
      <x:c r="H28" s="2"/>
      <x:c r="I28" s="2"/>
      <x:c r="J28" s="2"/>
      <x:c r="K28" s="2"/>
      <x:c r="L28" s="2"/>
      <x:c r="M28" s="2"/>
      <x:c r="N28" s="2"/>
      <x:c r="O28" s="2"/>
    </x:row>
    <x:row r="29" ht="25" customHeight="1">
      <x:c r="A29" s="2"/>
      <x:c r="B29" s="2"/>
      <x:c r="C29" s="2"/>
      <x:c r="D29" s="2"/>
      <x:c r="E29" s="2"/>
      <x:c r="F29" s="2"/>
      <x:c r="G29" s="2"/>
      <x:c r="H29" s="2"/>
      <x:c r="I29" s="2"/>
      <x:c r="J29" s="2"/>
      <x:c r="K29" s="2"/>
      <x:c r="L29" s="2"/>
      <x:c r="M29" s="2"/>
      <x:c r="N29" s="2"/>
      <x:c r="O29" s="2"/>
    </x:row>
    <x:row r="30" ht="25" customHeight="1">
      <x:c r="A30" s="2"/>
      <x:c r="B30" s="2"/>
      <x:c r="C30" s="2"/>
      <x:c r="D30" s="2"/>
      <x:c r="E30" s="2"/>
      <x:c r="F30" s="2"/>
      <x:c r="G30" s="2"/>
      <x:c r="H30" s="2"/>
      <x:c r="I30" s="2"/>
      <x:c r="J30" s="2"/>
      <x:c r="K30" s="2"/>
      <x:c r="L30" s="2"/>
      <x:c r="M30" s="2"/>
      <x:c r="N30" s="2"/>
      <x:c r="O30" s="2"/>
    </x:row>
    <x:row r="31" ht="30" customHeight="1">
      <x:c r="A31" s="84" t="str">
        <x:v>BrainChip商业与供应链快照</x:v>
      </x:c>
      <x:c r="B31" s="84" t="str">
        <x:v>2025 H1</x:v>
      </x:c>
      <x:c r="C31" s="84" t="str">
        <x:v>2026 H1</x:v>
      </x:c>
      <x:c r="D31" s="84" t="str">
        <x:v>说明</x:v>
      </x:c>
      <x:c r="E31" s="2"/>
      <x:c r="F31" s="2"/>
      <x:c r="G31" s="2"/>
      <x:c r="H31" s="2"/>
      <x:c r="I31" s="2"/>
      <x:c r="J31" s="2"/>
      <x:c r="K31" s="2"/>
      <x:c r="L31" s="2"/>
      <x:c r="M31" s="2"/>
      <x:c r="N31" s="2"/>
      <x:c r="O31" s="2"/>
    </x:row>
    <x:row r="32" ht="32" customHeight="1">
      <x:c r="A32" s="3" t="str">
        <x:v>客户收款</x:v>
      </x:c>
      <x:c r="B32" s="12" t="n">
        <x:v>1522026</x:v>
      </x:c>
      <x:c r="C32" s="12" t="n">
        <x:v>813247</x:v>
      </x:c>
      <x:c r="D32" s="3" t="str">
        <x:v>现金流，不等于收入</x:v>
      </x:c>
      <x:c r="E32" s="2"/>
      <x:c r="F32" s="2"/>
      <x:c r="G32" s="2"/>
      <x:c r="H32" s="2"/>
      <x:c r="I32" s="2"/>
      <x:c r="J32" s="2"/>
      <x:c r="K32" s="2"/>
      <x:c r="L32" s="2"/>
      <x:c r="M32" s="2"/>
      <x:c r="N32" s="2"/>
      <x:c r="O32" s="2"/>
    </x:row>
    <x:row r="33" ht="32" customHeight="1">
      <x:c r="A33" s="3" t="str">
        <x:v>经营现金净流出</x:v>
      </x:c>
      <x:c r="B33" s="12" t="n">
        <x:v>6990176</x:v>
      </x:c>
      <x:c r="C33" s="12" t="n">
        <x:v>11253495</x:v>
      </x:c>
      <x:c r="D33" s="3" t="str">
        <x:v>按流出绝对值展示</x:v>
      </x:c>
      <x:c r="E33" s="2"/>
      <x:c r="F33" s="2"/>
      <x:c r="G33" s="2"/>
      <x:c r="H33" s="2"/>
      <x:c r="I33" s="2"/>
      <x:c r="J33" s="2"/>
      <x:c r="K33" s="2"/>
      <x:c r="L33" s="2"/>
      <x:c r="M33" s="2"/>
      <x:c r="N33" s="2"/>
      <x:c r="O33" s="2"/>
    </x:row>
    <x:row r="34" ht="32" customHeight="1">
      <x:c r="A34" s="3" t="str">
        <x:v>期末现金及现金等价物</x:v>
      </x:c>
      <x:c r="B34" s="12" t="n">
        <x:v>13458121</x:v>
      </x:c>
      <x:c r="C34" s="12" t="n">
        <x:v>20304971</x:v>
      </x:c>
      <x:c r="D34" s="3" t="str">
        <x:v>各年6月30日</x:v>
      </x:c>
      <x:c r="E34" s="2"/>
      <x:c r="F34" s="2"/>
      <x:c r="G34" s="2"/>
      <x:c r="H34" s="2"/>
      <x:c r="I34" s="2"/>
      <x:c r="J34" s="2"/>
      <x:c r="K34" s="2"/>
      <x:c r="L34" s="2"/>
      <x:c r="M34" s="2"/>
      <x:c r="N34" s="2"/>
      <x:c r="O34" s="2"/>
    </x:row>
    <x:row r="35" ht="32" customHeight="1">
      <x:c r="A35" s="3" t="str">
        <x:v>&gt;10%客户收入合计</x:v>
      </x:c>
      <x:c r="B35" s="12" t="n">
        <x:v>809706</x:v>
      </x:c>
      <x:c r="C35" s="12" t="n">
        <x:v>983780</x:v>
      </x:c>
      <x:c r="D35" s="3" t="str">
        <x:v>2026约占H1收入80.5%</x:v>
      </x:c>
      <x:c r="E35" s="2"/>
      <x:c r="F35" s="2"/>
      <x:c r="G35" s="2"/>
      <x:c r="H35" s="2"/>
      <x:c r="I35" s="2"/>
      <x:c r="J35" s="2"/>
      <x:c r="K35" s="2"/>
      <x:c r="L35" s="2"/>
      <x:c r="M35" s="2"/>
      <x:c r="N35" s="2"/>
      <x:c r="O35" s="2"/>
    </x:row>
    <x:row r="36" ht="32" customHeight="1">
      <x:c r="A36" s="3" t="str">
        <x:v>首批AKD1500生产批次</x:v>
      </x:c>
      <x:c r="B36" s="12"/>
      <x:c r="C36" s="12" t="n">
        <x:v>2000</x:v>
      </x:c>
      <x:c r="D36" s="3" t="str">
        <x:v>颗；公司收到，不是客户出货</x:v>
      </x:c>
      <x:c r="E36" s="2"/>
      <x:c r="F36" s="2"/>
      <x:c r="G36" s="2"/>
      <x:c r="H36" s="2"/>
      <x:c r="I36" s="2"/>
      <x:c r="J36" s="2"/>
      <x:c r="K36" s="2"/>
      <x:c r="L36" s="2"/>
      <x:c r="M36" s="2"/>
      <x:c r="N36" s="2"/>
      <x:c r="O36" s="2"/>
    </x:row>
    <x:row r="37" ht="32" customHeight="1">
      <x:c r="A37" s="3" t="str">
        <x:v>生产良率</x:v>
      </x:c>
      <x:c r="B37" s="3"/>
      <x:c r="C37" s="3"/>
      <x:c r="D37" s="3" t="str">
        <x:v>低于预期，最终产量预计略低于计划</x:v>
      </x:c>
      <x:c r="E37" s="2"/>
      <x:c r="F37" s="2"/>
      <x:c r="G37" s="2"/>
      <x:c r="H37" s="2"/>
      <x:c r="I37" s="2"/>
      <x:c r="J37" s="2"/>
      <x:c r="K37" s="2"/>
      <x:c r="L37" s="2"/>
      <x:c r="M37" s="2"/>
      <x:c r="N37" s="2"/>
      <x:c r="O37" s="2"/>
    </x:row>
    <x:row r="38" ht="25" customHeight="1">
      <x:c r="A38" s="2"/>
      <x:c r="B38" s="2"/>
      <x:c r="C38" s="2"/>
      <x:c r="D38" s="2"/>
      <x:c r="E38" s="2"/>
      <x:c r="F38" s="2"/>
      <x:c r="G38" s="2"/>
      <x:c r="H38" s="2"/>
      <x:c r="I38" s="2"/>
      <x:c r="J38" s="2"/>
      <x:c r="K38" s="2"/>
      <x:c r="L38" s="2"/>
      <x:c r="M38" s="2"/>
      <x:c r="N38" s="2"/>
      <x:c r="O38" s="2"/>
    </x:row>
    <x:row r="39" ht="25" customHeight="1">
      <x:c r="A39" s="204" t="str">
        <x:v>可核商业化合同</x:v>
      </x:c>
      <x:c r="B39" s="204" t="str">
        <x:v>签约日</x:v>
      </x:c>
      <x:c r="C39" s="204" t="str">
        <x:v>合同授予值</x:v>
      </x:c>
      <x:c r="D39" s="204" t="str">
        <x:v>边界</x:v>
      </x:c>
      <x:c r="E39" s="2"/>
      <x:c r="F39" s="2"/>
      <x:c r="G39" s="2"/>
      <x:c r="H39" s="2"/>
      <x:c r="I39" s="2"/>
      <x:c r="J39" s="2"/>
      <x:c r="K39" s="2"/>
      <x:c r="L39" s="2"/>
      <x:c r="M39" s="2"/>
      <x:c r="N39" s="2"/>
      <x:c r="O39" s="2"/>
    </x:row>
    <x:row r="40" ht="48" customHeight="1">
      <x:c r="A40" s="151" t="str">
        <x:v>Jülich → SpiNNcloud</x:v>
      </x:c>
      <x:c r="B40" s="152" t="d">
        <x:v>2026-02-25T00:00:00.000Z</x:v>
      </x:c>
      <x:c r="C40" s="160" t="n">
        <x:v>3360000</x:v>
      </x:c>
      <x:c r="D40" s="151" t="str">
        <x:v>欧元；1套；公共采购合同，不等于已付款或确认收入</x:v>
      </x:c>
      <x:c r="E40" s="2"/>
      <x:c r="F40" s="2"/>
      <x:c r="G40" s="2"/>
      <x:c r="H40" s="2"/>
      <x:c r="I40" s="2"/>
      <x:c r="J40" s="2"/>
      <x:c r="K40" s="2"/>
      <x:c r="L40" s="2"/>
      <x:c r="M40" s="2"/>
      <x:c r="N40" s="2"/>
      <x:c r="O40" s="2"/>
    </x:row>
    <x:row r="41" ht="48" customHeight="1">
      <x:c r="A41" s="151" t="str">
        <x:v>莱比锡科研设施资助</x:v>
      </x:c>
      <x:c r="B41" s="152" t="d">
        <x:v>2025-10-28T00:00:00.000Z</x:v>
      </x:c>
      <x:c r="C41" s="160" t="n">
        <x:v>4000000</x:v>
      </x:c>
      <x:c r="D41" s="151" t="str">
        <x:v>约数；基础设施资助，不是SpiNNcloud合同额，二者不合并</x:v>
      </x:c>
      <x:c r="E41" s="2"/>
      <x:c r="F41" s="2"/>
      <x:c r="G41" s="2"/>
      <x:c r="H41" s="2"/>
      <x:c r="I41" s="2"/>
      <x:c r="J41" s="2"/>
      <x:c r="K41" s="2"/>
      <x:c r="L41" s="2"/>
      <x:c r="M41" s="2"/>
      <x:c r="N41" s="2"/>
      <x:c r="O41" s="2"/>
    </x:row>
    <x:row r="42" ht="42" customHeight="1">
      <x:c r="A42" s="151"/>
      <x:c r="B42" s="151"/>
      <x:c r="C42" s="151"/>
      <x:c r="D42" s="151"/>
      <x:c r="E42" s="2"/>
      <x:c r="F42" s="2"/>
      <x:c r="G42" s="2"/>
      <x:c r="H42" s="2"/>
      <x:c r="I42" s="2"/>
      <x:c r="J42" s="2"/>
      <x:c r="K42" s="2"/>
      <x:c r="L42" s="2"/>
      <x:c r="M42" s="2"/>
      <x:c r="N42" s="2"/>
      <x:c r="O42" s="2"/>
    </x:row>
    <x:row r="43" ht="42" customHeight="1">
      <x:c r="A43" s="204" t="str">
        <x:v>并购与退出追溯</x:v>
      </x:c>
      <x:c r="B43" s="204" t="str">
        <x:v>日期</x:v>
      </x:c>
      <x:c r="C43" s="204" t="str">
        <x:v>状态</x:v>
      </x:c>
      <x:c r="D43" s="204" t="str">
        <x:v>证据边界</x:v>
      </x:c>
      <x:c r="E43" s="2"/>
      <x:c r="F43" s="2"/>
      <x:c r="G43" s="2"/>
      <x:c r="H43" s="2"/>
      <x:c r="I43" s="2"/>
      <x:c r="J43" s="2"/>
      <x:c r="K43" s="2"/>
      <x:c r="L43" s="2"/>
      <x:c r="M43" s="2"/>
      <x:c r="N43" s="2"/>
      <x:c r="O43" s="2"/>
    </x:row>
    <x:row r="44" ht="82" customHeight="1">
      <x:c r="A44" s="151" t="str">
        <x:v>GrAI Matter Labs → Snap</x:v>
      </x:c>
      <x:c r="B44" s="152" t="d">
        <x:v>2023-10-31T00:00:00.000Z</x:v>
      </x:c>
      <x:c r="C44" s="151" t="str">
        <x:v>交易后于2024-02-01吸收合并注销</x:v>
      </x:c>
      <x:c r="D44" s="151" t="str">
        <x:v>不再计独立供应商；技术落地与收购价未知</x:v>
      </x:c>
      <x:c r="E44" s="2"/>
      <x:c r="F44" s="2"/>
      <x:c r="G44" s="2"/>
      <x:c r="H44" s="2"/>
      <x:c r="I44" s="2"/>
      <x:c r="J44" s="2"/>
      <x:c r="K44" s="2"/>
      <x:c r="L44" s="2"/>
      <x:c r="M44" s="2"/>
      <x:c r="N44" s="2"/>
      <x:c r="O44" s="2"/>
    </x:row>
    <x:row r="45" ht="82" customHeight="1">
      <x:c r="A45" s="151" t="str">
        <x:v>iniVation → SynSense Group</x:v>
      </x:c>
      <x:c r="B45" s="152" t="d">
        <x:v>2024-02-01T00:00:00.000Z</x:v>
      </x:c>
      <x:c r="C45" s="151" t="str">
        <x:v>100%股份收购；苏黎世实体继续运营</x:v>
      </x:c>
      <x:c r="D45" s="151" t="str">
        <x:v>交易金额未知；品牌／产品继续不等于独立所有权</x:v>
      </x:c>
      <x:c r="E45" s="2"/>
      <x:c r="F45" s="2"/>
      <x:c r="G45" s="2"/>
      <x:c r="H45" s="2"/>
      <x:c r="I45" s="2"/>
      <x:c r="J45" s="2"/>
      <x:c r="K45" s="2"/>
      <x:c r="L45" s="2"/>
      <x:c r="M45" s="2"/>
      <x:c r="N45" s="2"/>
      <x:c r="O45" s="2"/>
    </x:row>
    <x:row r="46" ht="82" customHeight="1">
      <x:c r="A46" s="151" t="str">
        <x:v>Prophesee司法重整 → 持续经营与全栈转向</x:v>
      </x:c>
      <x:c r="B46" s="152" t="str">
        <x:v>2024-10-15／2026-05-05</x:v>
      </x:c>
      <x:c r="C46" s="151" t="str">
        <x:v>2024年启动司法重整；2026年5月法院批准重整计划，6月公司宣布2000万欧元融资</x:v>
      </x:c>
      <x:c r="D46" s="151" t="str">
        <x:v>不是收购或清算；融资不计收入。经营恢复、Mantara商业化和长期偿付情况仍需持续跟踪</x:v>
      </x:c>
      <x:c r="E46" s="2"/>
      <x:c r="F46" s="2"/>
      <x:c r="G46" s="2"/>
      <x:c r="H46" s="2"/>
      <x:c r="I46" s="2"/>
      <x:c r="J46" s="2"/>
      <x:c r="K46" s="2"/>
      <x:c r="L46" s="2"/>
      <x:c r="M46" s="2"/>
      <x:c r="N46" s="2"/>
      <x:c r="O46" s="2"/>
    </x:row>
    <x:row r="47" ht="82" customHeight="1">
      <x:c r="A47" s="151" t="str">
        <x:v>Knowles消费MEMS麦克风 → Syntiant</x:v>
      </x:c>
      <x:c r="B47" s="152" t="d">
        <x:v>2024-12-30T00:00:00.000Z</x:v>
      </x:c>
      <x:c r="C47" s="151" t="str">
        <x:v>已完成；1.5亿美元现金加股票</x:v>
      </x:c>
      <x:c r="D47" s="151" t="str">
        <x:v>2.56亿美元为被收购业务2023收入，不是NDP芯片收入</x:v>
      </x:c>
      <x:c r="E47" s="2"/>
      <x:c r="F47" s="2"/>
      <x:c r="G47" s="2"/>
      <x:c r="H47" s="2"/>
      <x:c r="I47" s="2"/>
      <x:c r="J47" s="2"/>
      <x:c r="K47" s="2"/>
      <x:c r="L47" s="2"/>
      <x:c r="M47" s="2"/>
      <x:c r="N47" s="2"/>
      <x:c r="O47" s="2"/>
    </x:row>
    <x:row r="48" ht="82" customHeight="1">
      <x:c r="A48" s="151" t="str">
        <x:v>Eta Compute → ModelCat路线转向</x:v>
      </x:c>
      <x:c r="B48" s="152" t="d">
        <x:v>2025-08-28T00:00:00.000Z</x:v>
      </x:c>
      <x:c r="C48" s="151" t="str">
        <x:v>更名并把核心产品转为硬件感知的模型构建软件；NXP eIQ Model Creator采用订阅收费</x:v>
      </x:c>
      <x:c r="D48" s="151" t="str">
        <x:v>不是公司退出；但已无当前自研神经拟态芯片产品证据，不再计活跃芯片供应商</x:v>
      </x:c>
      <x:c r="E48" s="2"/>
      <x:c r="F48" s="2"/>
      <x:c r="G48" s="2"/>
      <x:c r="H48" s="2"/>
      <x:c r="I48" s="2"/>
      <x:c r="J48" s="2"/>
      <x:c r="K48" s="2"/>
      <x:c r="L48" s="2"/>
      <x:c r="M48" s="2"/>
      <x:c r="N48" s="2"/>
      <x:c r="O48" s="2"/>
    </x:row>
    <x:row r="49" ht="82" customHeight="1">
      <x:c r="A49" s="151" t="str">
        <x:v>Videantis → Mythic</x:v>
      </x:c>
      <x:c r="B49" s="152" t="d">
        <x:v>2026-05-19T00:00:00.000Z</x:v>
      </x:c>
      <x:c r="C49" s="151" t="str">
        <x:v>已完成</x:v>
      </x:c>
      <x:c r="D49" s="151" t="str">
        <x:v>Videantis既有装机不计Mythic模拟APU出货</x:v>
      </x:c>
      <x:c r="E49" s="2"/>
      <x:c r="F49" s="2"/>
      <x:c r="G49" s="2"/>
      <x:c r="H49" s="2"/>
      <x:c r="I49" s="2"/>
      <x:c r="J49" s="2"/>
      <x:c r="K49" s="2"/>
      <x:c r="L49" s="2"/>
      <x:c r="M49" s="2"/>
      <x:c r="N49" s="2"/>
      <x:c r="O49" s="2"/>
    </x:row>
    <x:row r="50" ht="82" customHeight="1">
      <x:c r="A50" s="151" t="str">
        <x:v>SceniX → World Labs</x:v>
      </x:c>
      <x:c r="B50" s="152" t="d">
        <x:v>2026-07-21T00:00:00.000Z</x:v>
      </x:c>
      <x:c r="C50" s="151" t="str">
        <x:v>已并入；R2S2R机器人仿真链</x:v>
      </x:c>
      <x:c r="D50" s="151" t="str">
        <x:v>公司展示未独立复现；金额和客户收入未知</x:v>
      </x:c>
      <x:c r="E50" s="2"/>
      <x:c r="F50" s="2"/>
      <x:c r="G50" s="2"/>
      <x:c r="H50" s="2"/>
      <x:c r="I50" s="2"/>
      <x:c r="J50" s="2"/>
      <x:c r="K50" s="2"/>
      <x:c r="L50" s="2"/>
      <x:c r="M50" s="2"/>
      <x:c r="N50" s="2"/>
      <x:c r="O50" s="2"/>
    </x:row>
    <x:row r="51" ht="82" customHeight="1">
      <x:c r="A51" s="151" t="str">
        <x:v>World Labs → AMD</x:v>
      </x:c>
      <x:c r="B51" s="152" t="d">
        <x:v>2026-09-26T00:00:00.000Z</x:v>
      </x:c>
      <x:c r="C51" s="151" t="str">
        <x:v>已签协议，预计年底完成</x:v>
      </x:c>
      <x:c r="D51" s="151" t="str">
        <x:v>约82亿美元全股票；仍待监管与交割条件</x:v>
      </x:c>
      <x:c r="E51" s="2"/>
      <x:c r="F51" s="2"/>
      <x:c r="G51" s="2"/>
      <x:c r="H51" s="2"/>
      <x:c r="I51" s="2"/>
      <x:c r="J51" s="2"/>
      <x:c r="K51" s="2"/>
      <x:c r="L51" s="2"/>
      <x:c r="M51" s="2"/>
      <x:c r="N51" s="2"/>
      <x:c r="O51" s="2"/>
    </x:row>
    <x:row r="52">
      <x:c r="A52"/>
      <x:c r="B52"/>
      <x:c r="C52"/>
      <x:c r="D52"/>
      <x:c r="E52" s="2"/>
      <x:c r="F52" s="2"/>
      <x:c r="G52" s="2"/>
      <x:c r="H52" s="2"/>
      <x:c r="I52" s="2"/>
      <x:c r="J52" s="2"/>
      <x:c r="K52" s="2"/>
      <x:c r="L52" s="2"/>
      <x:c r="M52" s="2"/>
      <x:c r="N52" s="2"/>
      <x:c r="O52" s="2"/>
    </x:row>
    <x:row r="53">
      <x:c r="A53"/>
      <x:c r="B53"/>
      <x:c r="C53"/>
      <x:c r="D53"/>
      <x:c r="E53" s="2"/>
      <x:c r="F53" s="2"/>
      <x:c r="G53" s="2"/>
      <x:c r="H53" s="2"/>
      <x:c r="I53" s="2"/>
      <x:c r="J53" s="2"/>
      <x:c r="K53" s="2"/>
      <x:c r="L53" s="2"/>
      <x:c r="M53" s="2"/>
      <x:c r="N53" s="2"/>
      <x:c r="O53" s="2"/>
    </x:row>
    <x:row r="54">
      <x:c r="A54" s="2"/>
      <x:c r="B54" s="2"/>
      <x:c r="C54" s="2"/>
      <x:c r="D54" s="2"/>
      <x:c r="E54" s="2"/>
      <x:c r="F54" s="2"/>
      <x:c r="G54" s="2"/>
      <x:c r="H54" s="2"/>
      <x:c r="I54" s="2"/>
      <x:c r="J54" s="2"/>
      <x:c r="K54" s="2"/>
      <x:c r="L54" s="2"/>
      <x:c r="M54" s="2"/>
      <x:c r="N54" s="2"/>
      <x:c r="O54" s="2"/>
    </x:row>
    <x:row r="55">
      <x:c r="A55" s="2"/>
      <x:c r="B55" s="2"/>
      <x:c r="C55" s="2"/>
      <x:c r="D55" s="2"/>
      <x:c r="E55" s="2"/>
      <x:c r="F55" s="2"/>
      <x:c r="G55" s="2"/>
      <x:c r="H55" s="2"/>
      <x:c r="I55" s="2"/>
      <x:c r="J55" s="2"/>
      <x:c r="K55" s="2"/>
      <x:c r="L55" s="2"/>
      <x:c r="M55" s="2"/>
      <x:c r="N55" s="2"/>
      <x:c r="O55" s="2"/>
    </x:row>
    <x:row r="56">
      <x:c r="A56" s="2"/>
      <x:c r="B56" s="2"/>
      <x:c r="C56" s="2"/>
      <x:c r="D56" s="2"/>
      <x:c r="E56" s="2"/>
      <x:c r="F56" s="2"/>
      <x:c r="G56" s="2"/>
      <x:c r="H56" s="2"/>
      <x:c r="I56" s="2"/>
      <x:c r="J56" s="2"/>
      <x:c r="K56" s="2"/>
      <x:c r="L56" s="2"/>
      <x:c r="M56" s="2"/>
      <x:c r="N56" s="2"/>
      <x:c r="O56" s="2"/>
    </x:row>
    <x:row r="57">
      <x:c r="A57" s="2"/>
      <x:c r="B57" s="2"/>
      <x:c r="C57" s="2"/>
      <x:c r="D57" s="2"/>
      <x:c r="E57" s="2"/>
      <x:c r="F57" s="2"/>
      <x:c r="G57" s="2"/>
      <x:c r="H57" s="2"/>
      <x:c r="I57" s="2"/>
      <x:c r="J57" s="2"/>
      <x:c r="K57" s="2"/>
      <x:c r="L57" s="2"/>
      <x:c r="M57" s="2"/>
      <x:c r="N57" s="2"/>
      <x:c r="O57" s="2"/>
    </x:row>
    <x:row r="58">
      <x:c r="A58" s="2"/>
      <x:c r="B58" s="2"/>
      <x:c r="C58" s="2"/>
      <x:c r="D58" s="2"/>
      <x:c r="E58" s="2"/>
      <x:c r="F58" s="2"/>
      <x:c r="G58" s="2"/>
      <x:c r="H58" s="2"/>
      <x:c r="I58" s="2"/>
      <x:c r="J58" s="2"/>
      <x:c r="K58" s="2"/>
      <x:c r="L58" s="2"/>
      <x:c r="M58" s="2"/>
      <x:c r="N58" s="2"/>
      <x:c r="O58" s="2"/>
    </x:row>
    <x:row r="59">
      <x:c r="A59" s="2"/>
      <x:c r="B59" s="2"/>
      <x:c r="C59" s="2"/>
      <x:c r="D59" s="2"/>
      <x:c r="E59" s="2"/>
      <x:c r="F59" s="2"/>
      <x:c r="G59" s="2"/>
      <x:c r="H59" s="2"/>
      <x:c r="I59" s="2"/>
      <x:c r="J59" s="2"/>
      <x:c r="K59" s="2"/>
      <x:c r="L59" s="2"/>
      <x:c r="M59" s="2"/>
      <x:c r="N59" s="2"/>
      <x:c r="O59" s="2"/>
    </x:row>
    <x:row r="60">
      <x:c r="A60" s="2"/>
      <x:c r="B60" s="2"/>
      <x:c r="C60" s="2"/>
      <x:c r="D60" s="2"/>
      <x:c r="E60" s="2"/>
      <x:c r="F60" s="2"/>
      <x:c r="G60" s="2"/>
      <x:c r="H60" s="2"/>
      <x:c r="I60" s="2"/>
      <x:c r="J60" s="2"/>
      <x:c r="K60" s="2"/>
      <x:c r="L60" s="2"/>
      <x:c r="M60" s="2"/>
      <x:c r="N60" s="2"/>
      <x:c r="O60" s="2"/>
    </x:row>
  </x:sheetData>
  <x:pageMargins left="0.7" right="0.7" top="0.75" bottom="0.75" header="0.3" footer="0.3"/>
  <x:drawing xmlns:r="http://schemas.openxmlformats.org/officeDocument/2006/relationships" r:id="Rda340d1e09ab4669"/>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22" hidden="0" customWidth="1"/>
    <x:col min="3" max="3" width="22" hidden="0" customWidth="1"/>
    <x:col min="4" max="4" width="55" hidden="0" customWidth="1"/>
    <x:col min="5" max="5" width="55" hidden="0" customWidth="1"/>
    <x:col min="6" max="6" width="55" hidden="0" customWidth="1"/>
    <x:col min="7" max="7" width="55" hidden="0" customWidth="1"/>
    <x:col min="8" max="8" width="60" hidden="0" customWidth="1"/>
    <x:col min="9" max="9" width="16" hidden="0" customWidth="1"/>
  </x:cols>
  <x:sheetData>
    <x:row r="1" ht="36" customHeight="1">
      <x:c r="A1" s="3" t="str">
        <x:v>编号</x:v>
      </x:c>
      <x:c r="B1" s="3" t="str">
        <x:v>主体</x:v>
      </x:c>
      <x:c r="C1" s="3" t="str">
        <x:v>报告分层</x:v>
      </x:c>
      <x:c r="D1" s="3" t="str">
        <x:v>路线与产品</x:v>
      </x:c>
      <x:c r="E1" s="3" t="str">
        <x:v>最新证据</x:v>
      </x:c>
      <x:c r="F1" s="3" t="str">
        <x:v>阶段与缺口</x:v>
      </x:c>
      <x:c r="G1" s="3" t="str">
        <x:v>来源状态</x:v>
      </x:c>
      <x:c r="H1" s="3" t="str">
        <x:v>原始URL</x:v>
      </x:c>
      <x:c r="I1" s="3" t="str">
        <x:v>检索日期</x:v>
      </x:c>
      <x:c r="J1" s="2"/>
      <x:c r="K1" s="2"/>
      <x:c r="L1" s="2"/>
      <x:c r="M1" s="2"/>
      <x:c r="N1" s="2"/>
      <x:c r="O1" s="2"/>
    </x:row>
    <x:row r="2" ht="74" customHeight="1">
      <x:c r="A2" s="3" t="str">
        <x:v>C001</x:v>
      </x:c>
      <x:c r="B2" s="3" t="str">
        <x:v>BrainChip</x:v>
      </x:c>
      <x:c r="C2" s="3" t="str">
        <x:v>硬件与平台</x:v>
      </x:c>
      <x:c r="D2" s="3" t="str">
        <x:v>全数字事件驱动Akida；芯片、M.2／PCIe模块、第三方开发板、开放调度软件及IP</x:v>
      </x:c>
      <x:c r="E2" s="3" t="str">
        <x:v>监管半年报确认首批2,000颗AKD1500已收货并进入商业规模制造；最终产量因良率低于预期预计略低于计划。2026年8月20日发布Apache 2.0许可的Symphony Community Akida Bundle，可在IBM Spectrum Symphony Community Edition下调度多张Akida卡；9月公开AkidaTag预订入口。</x:v>
      </x:c>
      <x:c r="F2" s="3" t="str">
        <x:v>2,000颗是BrainChip收到的首批生产批次，不是已核实客户出货；良率问题仍在分析。Symphony代码与参考机结果可查，但属于BrainChip维护的社区包，不是IBM产品公告，也未披露企业客户部署、合同或收入。AkidaTag仍为预订／早期接入，价格、交付时间、硬件配置和客户未知。</x:v>
      </x:c>
      <x:c r="G2" s="3" t="str">
        <x:v>BrainChip 2026半年报（监管文件、独立审阅）、BrainChip官方发布、公开GitHub仓库及IBM Community技术博客；事实、发行人宣称和分析边界分列</x:v>
      </x:c>
      <x:c r="H2" s="3" t="str">
        <x:v>https://investor.brainchip.com/wp-content/uploads/2026/09/2026-08-26-June-2026-half-yearly-report.pdf</x:v>
      </x:c>
      <x:c r="I2" s="4" t="d">
        <x:v>2026-10-03T00:00:00.000Z</x:v>
      </x:c>
      <x:c r="J2" s="2"/>
      <x:c r="K2" s="2"/>
      <x:c r="L2" s="2"/>
      <x:c r="M2" s="2"/>
      <x:c r="N2" s="2"/>
      <x:c r="O2" s="2"/>
    </x:row>
    <x:row r="3" ht="74" customHeight="1">
      <x:c r="A3" s="3" t="str">
        <x:v>C002</x:v>
      </x:c>
      <x:c r="B3" s="3" t="str">
        <x:v>Innatera</x:v>
      </x:c>
      <x:c r="C3" s="3" t="str">
        <x:v>硬件与平台</x:v>
      </x:c>
      <x:c r="D3" s="3" t="str">
        <x:v>Pulsar异构微控制器，含SNN、RISC-V、CNN及FFT</x:v>
      </x:c>
      <x:c r="E3" s="3" t="str">
        <x:v>2026年3月Joya完成Pulsar驱动的EdgeCore可集成音频模块；6月官网称Joya为客户；Synfire 0.0.2 Beta已于6月29日发布</x:v>
      </x:c>
      <x:c r="F3" s="3" t="str">
        <x:v>客户模块与公开工具链已超出单纯演示；终端零售出货、芯片数量、合同额和收入仍未知</x:v>
      </x:c>
      <x:c r="G3" s="3" t="str">
        <x:v>Innatera客户公告与MWC客户口径；PyPI可信发布证明；未取得采购合同或收入</x:v>
      </x:c>
      <x:c r="H3" s="3" t="str">
        <x:v>https://www.innatera.com/newsroom/joya-design-takes-neuromorphic-chip-from-design-to-device-with-first-innatera-powered-consumer-audio-product-at-awe-china/</x:v>
      </x:c>
      <x:c r="I3" s="4" t="d">
        <x:v>2026-10-02T00:00:00.000Z</x:v>
      </x:c>
      <x:c r="J3" s="2"/>
      <x:c r="K3" s="2"/>
      <x:c r="L3" s="2"/>
      <x:c r="M3" s="2"/>
      <x:c r="N3" s="2"/>
      <x:c r="O3" s="2"/>
    </x:row>
    <x:row r="4" ht="74" customHeight="1">
      <x:c r="A4" s="3" t="str">
        <x:v>C003</x:v>
      </x:c>
      <x:c r="B4" s="3" t="str">
        <x:v>SynSense时识</x:v>
      </x:c>
      <x:c r="C4" s="3" t="str">
        <x:v>硬件与平台</x:v>
      </x:c>
      <x:c r="D4" s="3" t="str">
        <x:v>Speck感算一体SNN、Aeveon高速视觉路线、iniVation事件相机及Rigi神经信号采集</x:v>
      </x:c>
      <x:c r="E4" s="3" t="str">
        <x:v>2024年2月1日SynSense宣布母公司收购iniVation 100%股份；苏黎世实体继续运营并服务原客户。2026年参投方另确认数亿元B轮及视觉产品批量订单口径。</x:v>
      </x:c>
      <x:c r="F4" s="3" t="str">
        <x:v>iniVation已不是独立所有权主体，但仍保留运营实体和产品品牌；交易金额未披露。2026批量订单未披露型号、客户、数量、金额、交付或收入，不能直接映射为Aeveon、Speck或iniVation相机。</x:v>
      </x:c>
      <x:c r="G4" s="3" t="str">
        <x:v>SynSense 2024-02-01收购公告及参投方2026-07-14文章；所有权、运营延续和订单宣称分列</x:v>
      </x:c>
      <x:c r="H4" s="3" t="str">
        <x:v>https://www.synsense.ai/synsense-and-inivation-join-forces-to-form-leading-neuromorphic-technology-provider/</x:v>
      </x:c>
      <x:c r="I4" s="4" t="d">
        <x:v>2026-10-02T00:00:00.000Z</x:v>
      </x:c>
      <x:c r="J4" s="2"/>
      <x:c r="K4" s="2"/>
      <x:c r="L4" s="2"/>
      <x:c r="M4" s="2"/>
      <x:c r="N4" s="2"/>
      <x:c r="O4" s="2"/>
    </x:row>
    <x:row r="5" ht="74" customHeight="1">
      <x:c r="A5" s="3" t="str">
        <x:v>C004</x:v>
      </x:c>
      <x:c r="B5" s="3" t="str">
        <x:v>Prophesee</x:v>
      </x:c>
      <x:c r="C5" s="3" t="str">
        <x:v>硬件与平台</x:v>
      </x:c>
      <x:c r="D5" s="3" t="str">
        <x:v>事件视觉传感、软件、伙伴相机生态及Mantara整机</x:v>
      </x:c>
      <x:c r="E5" s="3" t="str">
        <x:v>Sony IMX636／637伙伴相机已有现货、系列生产或发货证据。法国工商／BODACC转载记录显示公司于2024年10月进入司法重整，法院在2026年5月5日批准重整计划；6月15日公司宣布2000万欧元融资并推出Mantara与Hearth，转向事件传感器、软件和反无人机全栈系统。</x:v>
      </x:c>
      <x:c r="F5" s="3" t="str">
        <x:v>重整计划获批和融资说明公司继续经营，但融资不等于收入或经营风险消失。事件相机商品页、价格和伙伴发货不等于Prophesee传感器销量、终端采用或收入；Mantara商业化与现场验证为公司口径，缺具名采购、部署数量、合同和验收。OpenEB与独立Metavision SDK已宣布结束生命周期；Hearth公开迁移包仍未找到。</x:v>
      </x:c>
      <x:c r="G5" s="3" t="str">
        <x:v>Prophesee、IDS、LUCID与OpenMV官方产品／商店页；Prophesee资源与迁移公告，检索2026-10-02；事实、厂商宣称、分析和未知分列</x:v>
      </x:c>
      <x:c r="H5" s="3" t="str">
        <x:v>https://www.prophesee.ai/event-based-camera-partners/</x:v>
      </x:c>
      <x:c r="I5" s="4" t="d">
        <x:v>2026-10-02T00:00:00.000Z</x:v>
      </x:c>
      <x:c r="J5" s="2"/>
      <x:c r="K5" s="2"/>
      <x:c r="L5" s="2"/>
      <x:c r="M5" s="2"/>
      <x:c r="N5" s="2"/>
      <x:c r="O5" s="2"/>
    </x:row>
    <x:row r="6" ht="74" customHeight="1">
      <x:c r="A6" s="3" t="str">
        <x:v>C005</x:v>
      </x:c>
      <x:c r="B6" s="3" t="str">
        <x:v>SpiNNcloud</x:v>
      </x:c>
      <x:c r="C6" s="3" t="str">
        <x:v>硬件与平台</x:v>
      </x:c>
      <x:c r="D6" s="3" t="str">
        <x:v>SpiNNaker2事件通信、Arm可编程核与混合DNN／SNN科研系统</x:v>
      </x:c>
      <x:c r="E6" s="3" t="str">
        <x:v>Sandia确认Braunfels于2025年3月到货并部署，莱比锡大学确认2025年10月科研系统投入运行。德国公共采购结果141500-2026显示，Forschungszentrum Jülich于2026年2月25日与SpiNNcloud签订336万欧元、数量1套的SpiNNaker2硬件合同；单一投标、无分包。py-spinnaker2 v0.8.2标签提交日期2026-09-23。</x:v>
      </x:c>
      <x:c r="F6" s="3" t="str">
        <x:v>商业阶段由仅确认科研部署上调为已核公共采购合同。336万欧元是合同授予值，不等于已付款或当期确认收入；与莱比锡约400万欧元科研设施资助不是同一口径。Jülich系统交付验收、收款、毛利与复购仍未知；药物筛选项目采用int8 DNN，不应计成SNN训练。</x:v>
      </x:c>
      <x:c r="G6" s="3" t="str">
        <x:v>欧盟TED公共采购结果141500-2026及德国招标镜像；Sandia与莱比锡大学使用方公告；ScaDS.AI项目；官方GitLab标签、SDK文档与Docker Hub。合同、付款、收入与科研部署分列</x:v>
      </x:c>
      <x:c r="H6" s="3" t="str">
        <x:v>https://www.sandia.gov/research/news/brain-based-computing-for-nuclear-deterrence-solutions/</x:v>
      </x:c>
      <x:c r="I6" s="4" t="d">
        <x:v>2026-10-02T00:00:00.000Z</x:v>
      </x:c>
      <x:c r="J6" s="2"/>
      <x:c r="K6" s="2"/>
      <x:c r="L6" s="2"/>
      <x:c r="M6" s="2"/>
      <x:c r="N6" s="2"/>
      <x:c r="O6" s="2"/>
    </x:row>
    <x:row r="7" ht="74" customHeight="1">
      <x:c r="A7" s="3" t="str">
        <x:v>C006</x:v>
      </x:c>
      <x:c r="B7" s="3" t="str">
        <x:v>灵汐Lynxi</x:v>
      </x:c>
      <x:c r="C7" s="3" t="str">
        <x:v>硬件与平台</x:v>
      </x:c>
      <x:c r="D7" s="3" t="str">
        <x:v>KA200系列，ANN与SNN融合</x:v>
      </x:c>
      <x:c r="E7" s="3" t="str">
        <x:v>KA200及SDK有合作方文档；BIDL 1.9说明GPU侧BPTT训练、灵汐侧推理，并宣称网络头部片上学习</x:v>
      </x:c>
      <x:c r="F7" s="3" t="str">
        <x:v>头部在线学习有文档定位，尚缺独立实测及最新版本交付；2026客户、营收待核</x:v>
      </x:c>
      <x:c r="G7" s="3" t="str">
        <x:v>BIDL 1.9文档，发布日未知；头部学习为平台宣称</x:v>
      </x:c>
      <x:c r="H7" s="3" t="str">
        <x:v>https://bidl-zh.readthedocs.io/en/latest/overview.html</x:v>
      </x:c>
      <x:c r="I7" s="4" t="d">
        <x:v>2026-10-02T00:00:00.000Z</x:v>
      </x:c>
      <x:c r="J7" s="2"/>
      <x:c r="K7" s="2"/>
      <x:c r="L7" s="2"/>
      <x:c r="M7" s="2"/>
      <x:c r="N7" s="2"/>
      <x:c r="O7" s="2"/>
    </x:row>
    <x:row r="8" ht="74" customHeight="1">
      <x:c r="A8" s="3" t="str">
        <x:v>C007</x:v>
      </x:c>
      <x:c r="B8" s="3" t="str">
        <x:v>达尔文体系</x:v>
      </x:c>
      <x:c r="C8" s="3" t="str">
        <x:v>硬件与平台</x:v>
      </x:c>
      <x:c r="D8" s="3" t="str">
        <x:v>Darwin系列、物源软件平台</x:v>
      </x:c>
      <x:c r="E8" s="3" t="str">
        <x:v>2025年8月高校正式发布DarwinMonkey悟空；实验室官网列960颗Darwin3，并提供单芯片开发板、64芯片服务器及2025晶圆级平台</x:v>
      </x:c>
      <x:c r="F8" s="3" t="str">
        <x:v>已发布研究系统与开发平台；规模和在线学习为机构口径，供货合同、付费用户与收入未知</x:v>
      </x:c>
      <x:c r="G8" s="3" t="str">
        <x:v>实验室页2025-08-01、浙大发布索引2025-08-02；分别保留</x:v>
      </x:c>
      <x:c r="H8" s="3" t="str">
        <x:v>https://www.darwinware.com/en/news/2025/publish</x:v>
      </x:c>
      <x:c r="I8" s="4" t="d">
        <x:v>2026-10-02T00:00:00.000Z</x:v>
      </x:c>
      <x:c r="J8" s="2"/>
      <x:c r="K8" s="2"/>
      <x:c r="L8" s="2"/>
      <x:c r="M8" s="2"/>
      <x:c r="N8" s="2"/>
      <x:c r="O8" s="2"/>
    </x:row>
    <x:row r="9" ht="74" customHeight="1">
      <x:c r="A9" s="3" t="str">
        <x:v>C008</x:v>
      </x:c>
      <x:c r="B9" s="3" t="str">
        <x:v>Intel</x:v>
      </x:c>
      <x:c r="C9" s="3" t="str">
        <x:v>硬件与平台</x:v>
      </x:c>
      <x:c r="D9" s="3" t="str">
        <x:v>Loihi2、Hala Point；归档Lava与下一代SDK路线</x:v>
      </x:c>
      <x:c r="E9" s="3" t="str">
        <x:v>Lava官方仓库显示2026-05-13归档、只读。Intel停止承诺维护，README公告下一代Loihi架构与新SDK开发；Hala Point研究部署维持。</x:v>
      </x:c>
      <x:c r="F9" s="3" t="str">
        <x:v>归档为事实，下一代架构／SDK为路线宣称；未核实新SDK交付、迁移兼容、Loihi3量产或付费客户。不能推断Intel退出类脑。</x:v>
      </x:c>
      <x:c r="G9" s="3" t="str">
        <x:v>Intel Lava官方仓库与Intel研究官网；检索2026-10-02</x:v>
      </x:c>
      <x:c r="H9" s="3" t="str">
        <x:v>https://github.com/lava-nc/lava</x:v>
      </x:c>
      <x:c r="I9" s="4" t="d">
        <x:v>2026-10-02T00:00:00.000Z</x:v>
      </x:c>
      <x:c r="J9" s="2"/>
      <x:c r="K9" s="2"/>
      <x:c r="L9" s="2"/>
      <x:c r="M9" s="2"/>
      <x:c r="N9" s="2"/>
      <x:c r="O9" s="2"/>
    </x:row>
    <x:row r="10" ht="74" customHeight="1">
      <x:c r="A10" s="3" t="str">
        <x:v>C009</x:v>
      </x:c>
      <x:c r="B10" s="3" t="str">
        <x:v>他山科技</x:v>
      </x:c>
      <x:c r="C10" s="3" t="str">
        <x:v>硬件与平台</x:v>
      </x:c>
      <x:c r="D10" s="3" t="str">
        <x:v>触觉感知芯片、传感器、TS-ECHO数采与仿真；E10A动态触觉路线</x:v>
      </x:c>
      <x:c r="E10" s="3" t="str">
        <x:v>E10A已公开发布与演示；NVIDIA当前文档收录TS-F-A仿真资产，Isaac Sim／MuJoCo仓库可读；8月26日奥比中光确认TS-ECHO视触数采合作；9月公众号转载称传感器月交付数万枚</x:v>
      </x:c>
      <x:c r="F10" s="3" t="str">
        <x:v>传感器出货为公司／媒体口径，不等于E10A量产或审计收入；伙伴标识和展商客户名单未由采购方验证。E10A数据表、SNN计算范围、价格、客户付款及视触方案验收未知；80%市占率缺分母，不用于份额图</x:v>
      </x:c>
      <x:c r="G10" s="3" t="str">
        <x:v>奥比中光2026-08-26合作方一手公告；NVIDIA 2026-09-18文档、他山公开仓库；WRC展商自述；IPO早知道09-23全文转载，原公众号未读取</x:v>
      </x:c>
      <x:c r="H10" s="3" t="str">
        <x:v>https://www.orbbec.com/news/orbbec-and-tashan-technology-form-strategic-partnership-to-advance-vision-tactile-data-collection-solutions/</x:v>
      </x:c>
      <x:c r="I10" s="4" t="d">
        <x:v>2026-10-02T00:00:00.000Z</x:v>
      </x:c>
      <x:c r="J10" s="2"/>
      <x:c r="K10" s="2"/>
      <x:c r="L10" s="2"/>
      <x:c r="M10" s="2"/>
      <x:c r="N10" s="2"/>
      <x:c r="O10" s="2"/>
    </x:row>
    <x:row r="11" ht="74" customHeight="1">
      <x:c r="A11" s="3" t="str">
        <x:v>C010</x:v>
      </x:c>
      <x:c r="B11" s="3" t="str">
        <x:v>脑智算芯</x:v>
      </x:c>
      <x:c r="C11" s="3" t="str">
        <x:v>硬件与平台</x:v>
      </x:c>
      <x:c r="D11" s="3" t="str">
        <x:v>超大规模类脑智算，芯模算一体</x:v>
      </x:c>
      <x:c r="E11" s="3" t="str">
        <x:v>2026年5月政务发布披露天使轮融资及大模型联合研发</x:v>
      </x:c>
      <x:c r="F11" s="3" t="str">
        <x:v>创业与研发进展；不是已核实量产收入</x:v>
      </x:c>
      <x:c r="G11" s="3" t="str">
        <x:v>官网或机构证据；详见主报告</x:v>
      </x:c>
      <x:c r="H11" s="3" t="str">
        <x:v>https://www.thepaper.cn/newsDetail_forward_33199538</x:v>
      </x:c>
      <x:c r="I11" s="4" t="d">
        <x:v>2026-10-02T00:00:00.000Z</x:v>
      </x:c>
      <x:c r="J11" s="2"/>
      <x:c r="K11" s="2"/>
      <x:c r="L11" s="2"/>
      <x:c r="M11" s="2"/>
      <x:c r="N11" s="2"/>
      <x:c r="O11" s="2"/>
    </x:row>
    <x:row r="12" ht="74" customHeight="1">
      <x:c r="A12" s="3" t="str">
        <x:v>C011</x:v>
      </x:c>
      <x:c r="B12" s="3" t="str">
        <x:v>维泛智能</x:v>
      </x:c>
      <x:c r="C12" s="3" t="str">
        <x:v>硬件与平台</x:v>
      </x:c>
      <x:c r="D12" s="3" t="str">
        <x:v>BiGPU，GPU与BPU双模同构；具身大小脑芯片、BrainOS、OmniRT</x:v>
      </x:c>
      <x:c r="E12" s="3" t="str">
        <x:v>PAICORE 2.5测试芯片回片并完成原型板首测；8月24日钛媒体报道公司披露完成过亿元种子+轮，距5月数亿元种子轮约三个月；资金拟用于量产芯片研发及BrainOS、OmniRT产品化和商用交付。团队另在机器人赛事使用OmniRT，并与乐聚签署芯片适配等合作。</x:v>
      </x:c>
      <x:c r="F12" s="3" t="str">
        <x:v>两轮融资分开记录，融资不计收入，也不证明量产。PAICORE 2.5仍是测试芯片；2027年二季度投产、9月外部开放、客户付费与正式产品规格仍待核。报道中的联调／合作交流不等于采购、验收或收入。</x:v>
      </x:c>
      <x:c r="G12" s="3" t="str">
        <x:v>中关村发展集团公众号转载、钛媒体融资稿、北大、北京日报客户端与中国机器人产业发展联盟；融资、技术、合作与收入分列，检索2026-10-02</x:v>
      </x:c>
      <x:c r="H12" s="3" t="str">
        <x:v>https://www.tmtpost.com/8113528.html</x:v>
      </x:c>
      <x:c r="I12" s="4" t="d">
        <x:v>2026-10-02T00:00:00.000Z</x:v>
      </x:c>
      <x:c r="J12" s="2"/>
      <x:c r="K12" s="2"/>
      <x:c r="L12" s="2"/>
      <x:c r="M12" s="2"/>
      <x:c r="N12" s="2"/>
      <x:c r="O12" s="2"/>
    </x:row>
    <x:row r="13" ht="74" customHeight="1">
      <x:c r="A13" s="3" t="str">
        <x:v>C012</x:v>
      </x:c>
      <x:c r="B13" s="3" t="str">
        <x:v>具脑磐石 EBKernel</x:v>
      </x:c>
      <x:c r="C13" s="3" t="str">
        <x:v>模型与系统</x:v>
      </x:c>
      <x:c r="D13" s="3" t="str">
        <x:v>Cog-WM 1.0认知世界模型；按台／按年许可、软硬一体模组、行业方案与RaaS四种交付形态</x:v>
      </x:c>
      <x:c r="E13" s="3" t="str">
        <x:v>官网已公开四种商业交付形态，并列出NVIDIA Jetson、维泛OmniDimension及多家机器人本体伙伴；媒体转述公司称Cog-WM已在巡检／值守客户现场部署。官网里程碑披露2026年1月数千万元种子轮及5月亿元级天使轮。</x:v>
      </x:c>
      <x:c r="F13" s="3" t="str">
        <x:v>交付形态、伙伴名单和融资不等于收入。未见公开价格、模组SKU／数据表、具名付费客户、验收、合同金额或收入；客户现场部署仍是公司／媒体口径。节能幅度未实测，V2.0“数据需求约为VLA十分之一”是目标，不是已实现结果；未证明采用SNN芯片。</x:v>
      </x:c>
      <x:c r="G13" s="3" t="str">
        <x:v>EBKernel官网商业模式、生态与里程碑；官网技术报告；雷峰网发布报道。事实、公司宣称、分析与未知分列</x:v>
      </x:c>
      <x:c r="H13" s="3" t="str">
        <x:v>https://www.ebkernel.com/</x:v>
      </x:c>
      <x:c r="I13" s="4" t="d">
        <x:v>2026-10-02T00:00:00.000Z</x:v>
      </x:c>
      <x:c r="J13" s="2"/>
      <x:c r="K13" s="2"/>
      <x:c r="L13" s="2"/>
      <x:c r="M13" s="2"/>
      <x:c r="N13" s="2"/>
      <x:c r="O13" s="2"/>
    </x:row>
    <x:row r="14" ht="74" customHeight="1">
      <x:c r="A14" s="3" t="str">
        <x:v>C013</x:v>
      </x:c>
      <x:c r="B14" s="3" t="str">
        <x:v>最终序列</x:v>
      </x:c>
      <x:c r="C14" s="3" t="str">
        <x:v>模型与系统</x:v>
      </x:c>
      <x:c r="D14" s="3" t="str">
        <x:v>飞行具身世界模型、端侧SNN基座、芯片模组与嵌入式BOX</x:v>
      </x:c>
      <x:c r="E14" s="3" t="str">
        <x:v>《杨浦时报》2026-05-28称年营收进入千万元；南京市政府08-27稿称已实现营收3000万元。7月媒体披露模组千元级、BOX万元级及大客户／Tier 1模式</x:v>
      </x:c>
      <x:c r="F14" s="3" t="str">
        <x:v>从收入未知上调为有公开收入口径，但未经审计、无具名采购；大疆与道通仅洽谈。芯片模组不等于自研ASIC，型号、供应商和SNN占比待核</x:v>
      </x:c>
      <x:c r="G14" s="3" t="str">
        <x:v>杨浦时报、南京市政府活动稿与WAIC媒体报道；营收和性能均未审计</x:v>
      </x:c>
      <x:c r="H14" s="3" t="str">
        <x:v>https://www.nanjing.gov.cn/njxx/202608/t20260827_5900119.html</x:v>
      </x:c>
      <x:c r="I14" s="4" t="d">
        <x:v>2026-10-02T00:00:00.000Z</x:v>
      </x:c>
      <x:c r="J14" s="2"/>
      <x:c r="K14" s="2"/>
      <x:c r="L14" s="2"/>
      <x:c r="M14" s="2"/>
      <x:c r="N14" s="2"/>
      <x:c r="O14" s="2"/>
    </x:row>
    <x:row r="15" ht="74" customHeight="1">
      <x:c r="A15" s="3" t="str">
        <x:v>C014</x:v>
      </x:c>
      <x:c r="B15" s="3" t="str">
        <x:v>寰宇心生 WorldMind</x:v>
      </x:c>
      <x:c r="C15" s="3" t="str">
        <x:v>模型与系统</x:v>
      </x:c>
      <x:c r="D15" s="3" t="str">
        <x:v>神经认知世界模型、多模态数据体系与训练基础设施</x:v>
      </x:c>
      <x:c r="E15" s="3" t="str">
        <x:v>2026-09-03注册；9月7日披露元生资本数千万元早期融资。种子／天使标签按同一轮合并；科创板日报称WorldArena 2.0 Track 1前三、Track 2第二</x:v>
      </x:c>
      <x:c r="F15" s="3" t="str">
        <x:v>榜单主体映射仍需独立复核；真实场景工程待推进，未发现芯片产品或收入披露。评测成绩不等于商业化</x:v>
      </x:c>
      <x:c r="G15" s="3" t="str">
        <x:v>点石资本转载、科创板日报与36氪；融资合并去重，检索2026-10-02</x:v>
      </x:c>
      <x:c r="H15" s="3" t="str">
        <x:v>https://www.chinastarmarket.cn/detail/2476378</x:v>
      </x:c>
      <x:c r="I15" s="4" t="d">
        <x:v>2026-10-02T00:00:00.000Z</x:v>
      </x:c>
      <x:c r="J15" s="2"/>
      <x:c r="K15" s="2"/>
      <x:c r="L15" s="2"/>
      <x:c r="M15" s="2"/>
      <x:c r="N15" s="2"/>
      <x:c r="O15" s="2"/>
    </x:row>
    <x:row r="16" ht="74" customHeight="1">
      <x:c r="A16" s="3" t="str">
        <x:v>C015</x:v>
      </x:c>
      <x:c r="B16" s="3" t="str">
        <x:v>羲悉智能</x:v>
      </x:c>
      <x:c r="C16" s="3" t="str">
        <x:v>模型与系统</x:v>
      </x:c>
      <x:c r="D16" s="3" t="str">
        <x:v>类脑预测模型；System 1执行与System 2层级记忆；自进化智能体基座</x:v>
      </x:c>
      <x:c r="E16" s="3" t="str">
        <x:v>官网全文可读，1B与8B模型完成阶段验证；2026-09公开基座并披露数千万元种子轮。上海羲悉为主体，蔡炎松为创始人／董事长，李丹为CEO／法定代表人</x:v>
      </x:c>
      <x:c r="F16" s="3" t="str">
        <x:v>30B对标万亿模型、机构客户验证与算力节约均为公司宣称；客户未具名、付款和原始评测未知。属模型／系统公司，无自研芯片证据</x:v>
      </x:c>
      <x:c r="G16" s="3" t="str">
        <x:v>公司官网、投资界全文转载与工商索引交叉；检索2026-10-02</x:v>
      </x:c>
      <x:c r="H16" s="3" t="str">
        <x:v>https://xisiid.com/blog-static/articles/%E4%BB%8E%E8%AF%AD%E8%A8%80%E7%94%9F%E6%88%90%E5%88%B0%E7%8A%B6%E6%80%81%E9%A2%84%E6%B5%8B%20-%20%E7%BE%B2%E6%82%89%E7%89%88%E5%BC%8F.html</x:v>
      </x:c>
      <x:c r="I16" s="4" t="d">
        <x:v>2026-10-02T00:00:00.000Z</x:v>
      </x:c>
      <x:c r="J16" s="2"/>
      <x:c r="K16" s="2"/>
      <x:c r="L16" s="2"/>
      <x:c r="M16" s="2"/>
      <x:c r="N16" s="2"/>
      <x:c r="O16" s="2"/>
    </x:row>
    <x:row r="17" ht="74" customHeight="1">
      <x:c r="A17" s="3" t="str">
        <x:v>C016</x:v>
      </x:c>
      <x:c r="B17" s="3" t="str">
        <x:v>中科类脑</x:v>
      </x:c>
      <x:c r="C17" s="3" t="str">
        <x:v>模型与系统</x:v>
      </x:c>
      <x:c r="D17" s="3" t="str">
        <x:v>异构计算系统、面向电力的多模态大模型、算电碳协同系统</x:v>
      </x:c>
      <x:c r="E17" s="3" t="str">
        <x:v>官网搜索索引显示业务已覆盖算力与电力系统；纳入系统层补查池</x:v>
      </x:c>
      <x:c r="F17" s="3" t="str">
        <x:v>本轮官网全文超时；须确认当前主体、类脑技术实现、客户与收入，不能因公司名断定采用SNN</x:v>
      </x:c>
      <x:c r="G17" s="3" t="str">
        <x:v>待核：仅搜索索引线索</x:v>
      </x:c>
      <x:c r="H17" s="3" t="str">
        <x:v>https://www.leinao.ai/about</x:v>
      </x:c>
      <x:c r="I17" s="4" t="d">
        <x:v>2026-10-02T00:00:00.000Z</x:v>
      </x:c>
      <x:c r="J17" s="2"/>
      <x:c r="K17" s="2"/>
      <x:c r="L17" s="2"/>
      <x:c r="M17" s="2"/>
      <x:c r="N17" s="2"/>
      <x:c r="O17" s="2"/>
    </x:row>
    <x:row r="18" ht="74" customHeight="1">
      <x:c r="A18" s="3" t="str">
        <x:v>C017</x:v>
      </x:c>
      <x:c r="B18" s="3" t="str">
        <x:v>POLYN</x:v>
      </x:c>
      <x:c r="C18" s="3" t="str">
        <x:v>相邻替代</x:v>
      </x:c>
      <x:c r="D18" s="3" t="str">
        <x:v>NASP固定模拟网络前端；VAD与VibroSense TMS工程芯片</x:v>
      </x:c>
      <x:c r="E18" s="3" t="str">
        <x:v>官方称已有两款工程芯片；2026年9月28日开始交付VibroSense TMS工程传感节点供潜在客户评估</x:v>
      </x:c>
      <x:c r="F18" s="3" t="str">
        <x:v>已进入客户评估但仍是工程芯片；潜在客户未具名，生产资格、订单、数量与收入未知。VibroSense IIOT仍为仿真原型且商务暂停</x:v>
      </x:c>
      <x:c r="G18" s="3" t="str">
        <x:v>POLYN官网公告和技术文章；阶段、固定权重与暂停项目均为公司披露</x:v>
      </x:c>
      <x:c r="H18" s="3" t="str">
        <x:v>https://polyn.ai/polyn-delivers-first-vibrosense-tms-engineering-sensor-nodes-for-customer-evaluation/</x:v>
      </x:c>
      <x:c r="I18" s="4" t="d">
        <x:v>2026-10-02T00:00:00.000Z</x:v>
      </x:c>
      <x:c r="J18" s="2"/>
      <x:c r="K18" s="2"/>
      <x:c r="L18" s="2"/>
      <x:c r="M18" s="2"/>
      <x:c r="N18" s="2"/>
      <x:c r="O18" s="2"/>
    </x:row>
    <x:row r="19" ht="74" customHeight="1">
      <x:c r="A19" s="3" t="str">
        <x:v>C018</x:v>
      </x:c>
      <x:c r="B19" s="3" t="str">
        <x:v>Blumind</x:v>
      </x:c>
      <x:c r="C19" s="3" t="str">
        <x:v>相邻替代</x:v>
      </x:c>
      <x:c r="D19" s="3" t="str">
        <x:v>BM110音频／时序、BM210视觉；AMPL全模拟IP、chiplet与KGD</x:v>
      </x:c>
      <x:c r="E19" s="3" t="str">
        <x:v>官网列出产品名、PyTorch／TensorFlow权重映射流程并称AMPL硅验证；所有入口均为联系销售</x:v>
      </x:c>
      <x:c r="F19" s="3" t="str">
        <x:v>未见公开数据表、价格、库存、具名客户或收入；按硅验证／商务接洽记录，不以产品名或获奖推断量产</x:v>
      </x:c>
      <x:c r="G19" s="3" t="str">
        <x:v>Blumind官方产品页，检索2026-10-02</x:v>
      </x:c>
      <x:c r="H19" s="3" t="str">
        <x:v>https://blumind.ai/products/</x:v>
      </x:c>
      <x:c r="I19" s="4" t="d">
        <x:v>2026-10-02T00:00:00.000Z</x:v>
      </x:c>
      <x:c r="J19" s="2"/>
      <x:c r="K19" s="2"/>
      <x:c r="L19" s="2"/>
      <x:c r="M19" s="2"/>
      <x:c r="N19" s="2"/>
      <x:c r="O19" s="2"/>
    </x:row>
    <x:row r="20" ht="74" customHeight="1">
      <x:c r="A20" s="3" t="str">
        <x:v>C019</x:v>
      </x:c>
      <x:c r="B20" s="3" t="str">
        <x:v>Aspinity</x:v>
      </x:c>
      <x:c r="C20" s="3" t="str">
        <x:v>相邻替代</x:v>
      </x:c>
      <x:c r="D20" s="3" t="str">
        <x:v>AnalogML：AML100模拟AI前端；AML200射频模拟AI</x:v>
      </x:c>
      <x:c r="E20" s="3" t="str">
        <x:v>官网明确AML100为正在出货的生产IC并配套Python SDK；AML200为开发中、测试芯片已验证</x:v>
      </x:c>
      <x:c r="F20" s="3" t="str">
        <x:v>必须拆分阶段：AML100可部署，AML200不是量产RF芯片；具名客户、出货量和收入仍未知</x:v>
      </x:c>
      <x:c r="G20" s="3" t="str">
        <x:v>Aspinity官方产品页，检索2026-10-02；性能数字为厂商测试口径</x:v>
      </x:c>
      <x:c r="H20" s="3" t="str">
        <x:v>https://www.aspinity.com/products.html</x:v>
      </x:c>
      <x:c r="I20" s="4" t="d">
        <x:v>2026-10-02T00:00:00.000Z</x:v>
      </x:c>
      <x:c r="J20" s="2"/>
      <x:c r="K20" s="2"/>
      <x:c r="L20" s="2"/>
      <x:c r="M20" s="2"/>
      <x:c r="N20" s="2"/>
      <x:c r="O20" s="2"/>
    </x:row>
    <x:row r="21" ht="74" customHeight="1">
      <x:c r="A21" s="3" t="str">
        <x:v>C020</x:v>
      </x:c>
      <x:c r="B21" s="3" t="str">
        <x:v>九天睿芯REEXEN</x:v>
      </x:c>
      <x:c r="C21" s="3" t="str">
        <x:v>相邻替代</x:v>
      </x:c>
      <x:c r="D21" s="3" t="str">
        <x:v>既有SRAM存算边缘芯片；HBF SSD、ADA300／400与服务器路线</x:v>
      </x:c>
      <x:c r="E21" s="3" t="str">
        <x:v>2025年投资界转述公司称既有芯片在多家客户量产并获未具名国际品牌订单；当前官网新增HBF、ADA300／400和服务器</x:v>
      </x:c>
      <x:c r="F21" s="3" t="str">
        <x:v>既有边缘产品是公司／媒体量产口径；新大模型体系未见上市日、数据表、价格、样机或客户，不能借用前者成熟度</x:v>
      </x:c>
      <x:c r="G21" s="3" t="str">
        <x:v>REEXEN官网与投资界2025-09-24全文；客户与量产为公司口径</x:v>
      </x:c>
      <x:c r="H21" s="3" t="str">
        <x:v>https://www.reexen.com/</x:v>
      </x:c>
      <x:c r="I21" s="4" t="d">
        <x:v>2026-10-02T00:00:00.000Z</x:v>
      </x:c>
      <x:c r="J21" s="2"/>
      <x:c r="K21" s="2"/>
      <x:c r="L21" s="2"/>
      <x:c r="M21" s="2"/>
      <x:c r="N21" s="2"/>
      <x:c r="O21" s="2"/>
    </x:row>
    <x:row r="22" ht="74" customHeight="1">
      <x:c r="A22" s="3" t="str">
        <x:v>C021</x:v>
      </x:c>
      <x:c r="B22" s="3" t="str">
        <x:v>Rain AI</x:v>
      </x:c>
      <x:c r="C22" s="3" t="str">
        <x:v>相邻替代</x:v>
      </x:c>
      <x:c r="D22" s="3" t="str">
        <x:v>数字存内计算tile与软件IP；后续自有芯片</x:v>
      </x:c>
      <x:c r="E22" s="3" t="str">
        <x:v>产品页明确IP可用于定制SoC，硬件为“即将可用”</x:v>
      </x:c>
      <x:c r="F22" s="3" t="str">
        <x:v>未见公开芯片型号、开发板、价格、库存或客户；片上微调是研发叙事而非已交付产品功能</x:v>
      </x:c>
      <x:c r="G22" s="3" t="str">
        <x:v>Rain官方产品页，检索2026-10-02</x:v>
      </x:c>
      <x:c r="H22" s="3" t="str">
        <x:v>https://rain.ai/products</x:v>
      </x:c>
      <x:c r="I22" s="4" t="d">
        <x:v>2026-10-02T00:00:00.000Z</x:v>
      </x:c>
      <x:c r="J22" s="2"/>
      <x:c r="K22" s="2"/>
      <x:c r="L22" s="2"/>
      <x:c r="M22" s="2"/>
      <x:c r="N22" s="2"/>
      <x:c r="O22" s="2"/>
    </x:row>
    <x:row r="23" ht="74" customHeight="1">
      <x:c r="A23" s="3" t="str">
        <x:v>C022</x:v>
      </x:c>
      <x:c r="B23" s="3" t="str">
        <x:v>MemryX</x:v>
      </x:c>
      <x:c r="C23" s="3" t="str">
        <x:v>相邻替代</x:v>
      </x:c>
      <x:c r="D23" s="3" t="str">
        <x:v>MX3近存数据流NPU与Cascade模块；MX3+／MX4后续路线</x:v>
      </x:c>
      <x:c r="E23" s="3" t="str">
        <x:v>MX3官网标为可批量下单；2026-08-31联合稿称Express LUCK已在日常生产线部署MemryX系统</x:v>
      </x:c>
      <x:c r="F23" s="3" t="str">
        <x:v>从“在产但客户未知”上调为具名工厂部署与批量订购入口；部署规模、采购数量、合同额和收入仍未知</x:v>
      </x:c>
      <x:c r="G23" s="3" t="str">
        <x:v>MemryX／Express LUCK联合稿与MX3官方产品页，检索2026-10-02</x:v>
      </x:c>
      <x:c r="H23" s="3" t="str">
        <x:v>https://memryx.ai/news/express-luck-selects-memryx-for-ai-enabled-smart-manufacturing-operations/</x:v>
      </x:c>
      <x:c r="I23" s="4" t="d">
        <x:v>2026-10-02T00:00:00.000Z</x:v>
      </x:c>
      <x:c r="J23" s="2"/>
      <x:c r="K23" s="2"/>
      <x:c r="L23" s="2"/>
      <x:c r="M23" s="2"/>
      <x:c r="N23" s="2"/>
      <x:c r="O23" s="2"/>
    </x:row>
    <x:row r="24" ht="74" customHeight="1">
      <x:c r="A24" s="3" t="str">
        <x:v>C023</x:v>
      </x:c>
      <x:c r="B24" s="3" t="str">
        <x:v>Synthara</x:v>
      </x:c>
      <x:c r="C24" s="3" t="str">
        <x:v>相邻替代</x:v>
      </x:c>
      <x:c r="D24" s="3" t="str">
        <x:v>ComputeRAM数字存内计算SRAM IP宏</x:v>
      </x:c>
      <x:c r="E24" s="3" t="str">
        <x:v>官方资料称为硅验证、可嵌入ASIC的IP宏，并给出SDK路线</x:v>
      </x:c>
      <x:c r="F24" s="3" t="str">
        <x:v>未见封装芯片、公开SDK下载、价格、库存、具名design win或收入；性能数字均为厂商基准</x:v>
      </x:c>
      <x:c r="G24" s="3" t="str">
        <x:v>Synthara官方产品资料，检索2026-10-02</x:v>
      </x:c>
      <x:c r="H24" s="3" t="str">
        <x:v>https://synthara.ai/wp-content/uploads/2025/03/EW-version-Leaflet-Trifolds.pdf</x:v>
      </x:c>
      <x:c r="I24" s="4" t="d">
        <x:v>2026-10-02T00:00:00.000Z</x:v>
      </x:c>
      <x:c r="J24" s="2"/>
      <x:c r="K24" s="2"/>
      <x:c r="L24" s="2"/>
      <x:c r="M24" s="2"/>
      <x:c r="N24" s="2"/>
      <x:c r="O24" s="2"/>
    </x:row>
    <x:row r="25" ht="74" customHeight="1">
      <x:c r="A25" s="3" t="str">
        <x:v>C024</x:v>
      </x:c>
      <x:c r="B25" s="3" t="str">
        <x:v>Neurxcore</x:v>
      </x:c>
      <x:c r="C25" s="3" t="str">
        <x:v>相邻替代</x:v>
      </x:c>
      <x:c r="D25" s="3" t="str">
        <x:v>神经处理器IP及软件</x:v>
      </x:c>
      <x:c r="E25" s="3" t="str">
        <x:v>官方产品公告基于NVIDIA DLA</x:v>
      </x:c>
      <x:c r="F25" s="3" t="str">
        <x:v>放入传统NPU替代池，不能与SENeCA混淆</x:v>
      </x:c>
      <x:c r="G25" s="3" t="str">
        <x:v>官网产品证据；详见主报告</x:v>
      </x:c>
      <x:c r="H25" s="3" t="str">
        <x:v>https://www.neurxcore.com/</x:v>
      </x:c>
      <x:c r="I25" s="4" t="d">
        <x:v>2026-10-02T00:00:00.000Z</x:v>
      </x:c>
      <x:c r="J25" s="2"/>
      <x:c r="K25" s="2"/>
      <x:c r="L25" s="2"/>
      <x:c r="M25" s="2"/>
      <x:c r="N25" s="2"/>
      <x:c r="O25" s="2"/>
    </x:row>
    <x:row r="26" ht="74" customHeight="1">
      <x:c r="A26" s="3" t="str">
        <x:v>C025</x:v>
      </x:c>
      <x:c r="B26" s="3" t="str">
        <x:v>爱芯元智Axera</x:v>
      </x:c>
      <x:c r="C26" s="3" t="str">
        <x:v>相邻替代</x:v>
      </x:c>
      <x:c r="D26" s="3" t="str">
        <x:v>AX8850系列传统NPU SoC、算力卡与本地视频智能体</x:v>
      </x:c>
      <x:c r="E26" s="3" t="str">
        <x:v>2026-08-10官网半年报摘要：上半年边缘AI业务收入2769万元；6月列VideoAgent及开放SDK，GitHub可读视频流水线。</x:v>
      </x:c>
      <x:c r="F26" s="3" t="str">
        <x:v>属发行人官网摘要，港交所全文待核；不计为类脑收入。具名客户、同任务整机功耗待核。</x:v>
      </x:c>
      <x:c r="G26" s="3" t="str">
        <x:v>官网摘要与官方GitHub，检索2026-10-02</x:v>
      </x:c>
      <x:c r="H26" s="3" t="str">
        <x:v>https://www.axera-tech.com/zh-hans/news/3270.html</x:v>
      </x:c>
      <x:c r="I26" s="4" t="d">
        <x:v>2026-10-02T00:00:00.000Z</x:v>
      </x:c>
      <x:c r="J26" s="2"/>
      <x:c r="K26" s="2"/>
      <x:c r="L26" s="2"/>
      <x:c r="M26" s="2"/>
      <x:c r="N26" s="2"/>
      <x:c r="O26" s="2"/>
    </x:row>
    <x:row r="27" ht="74" customHeight="1">
      <x:c r="A27" s="3" t="str">
        <x:v>C026</x:v>
      </x:c>
      <x:c r="B27" s="3" t="str">
        <x:v>Syntiant</x:v>
      </x:c>
      <x:c r="C27" s="3" t="str">
        <x:v>相邻替代</x:v>
      </x:c>
      <x:c r="D27" s="3" t="str">
        <x:v>NDP115/120/200/250深度神经网络处理器；Knowles消费MEMS麦克风业务；模型与软件</x:v>
      </x:c>
      <x:c r="E27" s="3" t="str">
        <x:v>NDP115/120/200为Mass Production，NDP250为Sampling。Syntiant于2024年12月30日以1.5亿美元现金加股票完成收购Knowles消费MEMS麦克风业务，后者2023年收入约2.56亿美元。</x:v>
      </x:c>
      <x:c r="F27" s="3" t="str">
        <x:v>收购价格和被收购业务收入不能计为Syntiant NDP芯片收入；产品表发布日期、NDP出货拆分、终端销量和收购后协同收入未知。没有证据将NDP归为SNN。</x:v>
      </x:c>
      <x:c r="G27" s="3" t="str">
        <x:v>Syntiant 2024-12-30完成收购公告及当前产品阶段表；交易数据与芯片收入分开</x:v>
      </x:c>
      <x:c r="H27" s="3" t="str">
        <x:v>https://www.syntiant.com/press-release/syntiant-completes-acquisition-of-knowles-consumer-mems-microphone-division/</x:v>
      </x:c>
      <x:c r="I27" s="4" t="d">
        <x:v>2026-10-02T00:00:00.000Z</x:v>
      </x:c>
      <x:c r="J27" s="2"/>
      <x:c r="K27" s="2"/>
      <x:c r="L27" s="2"/>
      <x:c r="M27" s="2"/>
      <x:c r="N27" s="2"/>
      <x:c r="O27" s="2"/>
    </x:row>
    <x:row r="28" ht="74" customHeight="1">
      <x:c r="A28" s="3" t="str">
        <x:v>C027</x:v>
      </x:c>
      <x:c r="B28" s="3" t="str">
        <x:v>Mythic</x:v>
      </x:c>
      <x:c r="C28" s="3" t="str">
        <x:v>相邻替代</x:v>
      </x:c>
      <x:c r="D28" s="3" t="str">
        <x:v>M1模拟CIM APU；Vanguard混合模拟／数字APU；Starlight传感集成；Mead 3D NAND大模型路线；Videantis数字IP</x:v>
      </x:c>
      <x:c r="E28" s="3" t="str">
        <x:v>M1可申请评估；Vanguard计划2027可用并披露GF 28nm模拟die＋TSMC N5A数字die；Microchip／SST确认下一代APU选用memBrain／SuperFlash；Starlight与Mead均标注在研</x:v>
      </x:c>
      <x:c r="F28" s="3" t="str">
        <x:v>Vanguard未见投片、样片、客户或交付；Starlight现有演示运行于M1硅片，未证实集成传感器；Mead未见3D NAND硅片。所有高能效数字均为厂商口径</x:v>
      </x:c>
      <x:c r="G28" s="3" t="str">
        <x:v>Mythic产品页与Microchip／SST 2026-03-17公告，检索2026-10-02；供应链选型不等于流片</x:v>
      </x:c>
      <x:c r="H28" s="3" t="str">
        <x:v>https://www.mythic.ai/vanguard</x:v>
      </x:c>
      <x:c r="I28" s="4" t="d">
        <x:v>2026-10-02T00:00:00.000Z</x:v>
      </x:c>
      <x:c r="J28" s="2"/>
      <x:c r="K28" s="2"/>
      <x:c r="L28" s="2"/>
      <x:c r="M28" s="2"/>
      <x:c r="N28" s="2"/>
      <x:c r="O28" s="2"/>
    </x:row>
    <x:row r="29" ht="74" customHeight="1">
      <x:c r="A29" s="3" t="str">
        <x:v>C028</x:v>
      </x:c>
      <x:c r="B29" s="3" t="str">
        <x:v>AnalogAI</x:v>
      </x:c>
      <x:c r="C29" s="3" t="str">
        <x:v>相邻替代</x:v>
      </x:c>
      <x:c r="D29" s="3" t="str">
        <x:v>基于SST memBrain SAGE的模拟CIM边缘处理器</x:v>
      </x:c>
      <x:c r="E29" s="3" t="str">
        <x:v>Microchip 2026-09-15称AnalogAI首代处理器选用其硅验证IP</x:v>
      </x:c>
      <x:c r="F29" s="3" t="str">
        <x:v>仅到供应链／IP选型；未见芯片型号、流片、样片、开发板、客户或收入；低于1W与同时训练推理为目标／厂商宣称</x:v>
      </x:c>
      <x:c r="G29" s="3" t="str">
        <x:v>Microchip官方供应链公告，2026-09-15</x:v>
      </x:c>
      <x:c r="H29" s="3" t="str">
        <x:v>https://ir.microchip.com/news-events/press-releases/detail/1414/analogai-selects-membrain-sage-intellectual-property-from-silicon-storage-technology-for-its-first-real-world-edge-ai-processors</x:v>
      </x:c>
      <x:c r="I29" s="4" t="d">
        <x:v>2026-10-02T00:00:00.000Z</x:v>
      </x:c>
      <x:c r="J29" s="2"/>
      <x:c r="K29" s="2"/>
      <x:c r="L29" s="2"/>
      <x:c r="M29" s="2"/>
      <x:c r="N29" s="2"/>
      <x:c r="O29" s="2"/>
    </x:row>
    <x:row r="30" ht="74" customHeight="1">
      <x:c r="A30" s="3" t="str">
        <x:v>C029</x:v>
      </x:c>
      <x:c r="B30" s="3" t="str">
        <x:v>semiQa</x:v>
      </x:c>
      <x:c r="C30" s="3" t="str">
        <x:v>相邻替代</x:v>
      </x:c>
      <x:c r="D30" s="3" t="str">
        <x:v>ANN1000边缘与ANN2000数据中心模拟神经网络IP</x:v>
      </x:c>
      <x:c r="E30" s="3" t="str">
        <x:v>官网称两款IP可授权并配套PDK／SDK；2026-09-24第三方披露种子轮</x:v>
      </x:c>
      <x:c r="F30" s="3" t="str">
        <x:v>未见流片、封装芯片、开发板、具名客户或收入；“面向量产”是定位，不是量产事实</x:v>
      </x:c>
      <x:c r="G30" s="3" t="str">
        <x:v>semiQa官网与Dealroom融资报道，检索2026-10-02</x:v>
      </x:c>
      <x:c r="H30" s="3" t="str">
        <x:v>https://semiqa.com/en/technology</x:v>
      </x:c>
      <x:c r="I30" s="4" t="d">
        <x:v>2026-10-02T00:00:00.000Z</x:v>
      </x:c>
      <x:c r="J30" s="2"/>
      <x:c r="K30" s="2"/>
      <x:c r="L30" s="2"/>
      <x:c r="M30" s="2"/>
      <x:c r="N30" s="2"/>
      <x:c r="O30" s="2"/>
    </x:row>
    <x:row r="31" ht="74" customHeight="1">
      <x:c r="A31" s="3" t="str">
        <x:v>C030</x:v>
      </x:c>
      <x:c r="B31" s="3" t="str">
        <x:v>STMicroelectronics</x:v>
      </x:c>
      <x:c r="C31" s="3" t="str">
        <x:v>相邻替代</x:v>
      </x:c>
      <x:c r="D31" s="3" t="str">
        <x:v>STM32N6 Cortex-M55 MCU＋Neural-ART NPU；STM32Cube AI Studio与N6开发板</x:v>
      </x:c>
      <x:c r="E31" s="3" t="str">
        <x:v>STM32N657X0量产SKU与STM32N6570-DK／NUCLEO开发板已有官方Active、量产及直接购买入口；NPU工具按算子映射，未支持算子回退CPU</x:v>
      </x:c>
      <x:c r="F31" s="3" t="str">
        <x:v>官方页面检索时未显示经销商库存，ST直购入口存在；量产状态不等于类脑任务设计定点。工具证据聚焦推理，未见权重在线更新；厂商600 GOPS不能与SNN事件任务直接排名</x:v>
      </x:c>
      <x:c r="G31" s="3" t="str">
        <x:v>ST官方芯片、开发板、AI工具与部署教程；产品状态和购买入口为事实，性能为厂商口径</x:v>
      </x:c>
      <x:c r="H31" s="3" t="str">
        <x:v>https://www.st.com/en/evaluation-tools/stm32n6570-dk.html</x:v>
      </x:c>
      <x:c r="I31" s="4" t="d">
        <x:v>2026-10-02T00:00:00.000Z</x:v>
      </x:c>
      <x:c r="J31" s="2"/>
      <x:c r="K31" s="2"/>
      <x:c r="L31" s="2"/>
      <x:c r="M31" s="2"/>
      <x:c r="N31" s="2"/>
      <x:c r="O31" s="2"/>
    </x:row>
    <x:row r="32" ht="74" customHeight="1">
      <x:c r="A32" s="3" t="str">
        <x:v>C031</x:v>
      </x:c>
      <x:c r="B32" s="3" t="str">
        <x:v>NXP</x:v>
      </x:c>
      <x:c r="C32" s="3" t="str">
        <x:v>相邻替代</x:v>
      </x:c>
      <x:c r="D32" s="3" t="str">
        <x:v>i.MX RT700双Cortex-M33＋HiFi DSP＋eIQ Neutron NPU；MCUXpresso</x:v>
      </x:c>
      <x:c r="E32" s="3" t="str">
        <x:v>MIMXRT700-EVK官方状态Active，10月2日页面显示2套现货、187.23美元并可下单；NXP已发布NPU编译与门铃、摄像头、手表等参考应用</x:v>
      </x:c>
      <x:c r="F32" s="3" t="str">
        <x:v>开发板现货和完整文档不证明终端量产或收入；公开材料聚焦量化模型编译与推理，未见本地权重更新。厂商加速倍数不能跨任务横比</x:v>
      </x:c>
      <x:c r="G32" s="3" t="str">
        <x:v>NXP官方EVK商品页、RT700产品页与AN14700；库存、价格为检索时快照</x:v>
      </x:c>
      <x:c r="H32" s="3" t="str">
        <x:v>https://www.nxp.com/design/design-center/software/development-software/mcuxpresso-software-and-tools-/i-mx-rt700-evaluation-kit:MIMXRT700-EVK</x:v>
      </x:c>
      <x:c r="I32" s="4" t="d">
        <x:v>2026-10-02T00:00:00.000Z</x:v>
      </x:c>
      <x:c r="J32" s="2"/>
      <x:c r="K32" s="2"/>
      <x:c r="L32" s="2"/>
      <x:c r="M32" s="2"/>
      <x:c r="N32" s="2"/>
      <x:c r="O32" s="2"/>
    </x:row>
    <x:row r="33" ht="74" customHeight="1">
      <x:c r="A33" s="3" t="str">
        <x:v>C032</x:v>
      </x:c>
      <x:c r="B33" s="3" t="str">
        <x:v>Synaptics</x:v>
      </x:c>
      <x:c r="C33" s="3" t="str">
        <x:v>相邻替代</x:v>
      </x:c>
      <x:c r="D33" s="3" t="str">
        <x:v>Astra SL2610多模态IoT处理器；Torq T1／Coral NPU；Astra Machina开发套件</x:v>
      </x:c>
      <x:c r="E33" s="3" t="str">
        <x:v>SL2610开发套件官网已给出Mouser、DigiKey和Codico购买入口，并提供2026年用户指南、数据表与视觉／语音／LLM NPU教程；Torq基于开源IREE／MLIR</x:v>
      </x:c>
      <x:c r="F33" s="3" t="str">
        <x:v>购买入口不等于库存与终端量产；2025公告中的Q2 2026 GA计划不能替代当前芯片出货量。公开教程是推理工作流，未见片上在线学习或具名付费客户规模</x:v>
      </x:c>
      <x:c r="G33" s="3" t="str">
        <x:v>Synaptics官方产品、开发者文档与分销入口；伙伴引述不作为销量证据</x:v>
      </x:c>
      <x:c r="H33" s="3" t="str">
        <x:v>https://www.synaptics.com/products/embedded-processors/sl2610-product-line</x:v>
      </x:c>
      <x:c r="I33" s="4" t="d">
        <x:v>2026-10-02T00:00:00.000Z</x:v>
      </x:c>
      <x:c r="J33" s="2"/>
      <x:c r="K33" s="2"/>
      <x:c r="L33" s="2"/>
      <x:c r="M33" s="2"/>
      <x:c r="N33" s="2"/>
      <x:c r="O33" s="2"/>
    </x:row>
    <x:row r="34" ht="74" customHeight="1">
      <x:c r="A34" s="3" t="str">
        <x:v>C033</x:v>
      </x:c>
      <x:c r="B34" s="3" t="str">
        <x:v>Hailo</x:v>
      </x:c>
      <x:c r="C34" s="3" t="str">
        <x:v>相邻替代</x:v>
      </x:c>
      <x:c r="D34" s="3" t="str">
        <x:v>Hailo-10H离散数据流AI加速器与M.2模块；视觉、LLM与VLM本地推理</x:v>
      </x:c>
      <x:c r="E34" s="3" t="str">
        <x:v>Hailo于2025年7月22日宣布Hailo-10H商业可用并接受全球订单；当前官网商店和区域经销页面仍列M.2模块，产品简报给出40／20 TOPS（INT4／8）与典型2.5W</x:v>
      </x:c>
      <x:c r="F34" s="3" t="str">
        <x:v>可下单和厂商基准不等于终端设计定点、销量或收入；汽车2026 SOP是目标。公开资料聚焦推理，未见本地权重更新；功耗指标不与不同模型和系统边界横比</x:v>
      </x:c>
      <x:c r="G34" s="3" t="str">
        <x:v>Hailo官方GA公告、产品简报与商店；性能、功耗和用户数均为厂商口径</x:v>
      </x:c>
      <x:c r="H34" s="3" t="str">
        <x:v>https://hailo.ai/company-overview/newsroom/news/hailo-announces-general-availability-of-hailo-10h-edge-ai-accelerator-with-generative-ai-capabilities/</x:v>
      </x:c>
      <x:c r="I34" s="4" t="d">
        <x:v>2026-10-02T00:00:00.000Z</x:v>
      </x:c>
      <x:c r="J34" s="2"/>
      <x:c r="K34" s="2"/>
      <x:c r="L34" s="2"/>
      <x:c r="M34" s="2"/>
      <x:c r="N34" s="2"/>
      <x:c r="O34" s="2"/>
    </x:row>
    <x:row r="35" ht="74" customHeight="1">
      <x:c r="A35" s="3" t="str">
        <x:v>C034</x:v>
      </x:c>
      <x:c r="B35" s="3" t="str">
        <x:v>Ambiq</x:v>
      </x:c>
      <x:c r="C35" s="3" t="str">
        <x:v>相邻替代</x:v>
      </x:c>
      <x:c r="D35" s="3" t="str">
        <x:v>Apollo510／Apollo510 Lite Cortex-M55超低功耗SoC；neuralSPOT、HELIA与Zephyr</x:v>
      </x:c>
      <x:c r="E35" s="3" t="str">
        <x:v>Apollo510评估板在DigiKey检索时有13套现货；Apollo510 Lite芯片SKU为Active但10月2日库存为0，约4900颗预计10月5日到货；9月8日官方扩展Zephyr支持</x:v>
      </x:c>
      <x:c r="F35" s="3" t="str">
        <x:v>评估板现货不是芯片量产出货；预计库存属于分销计划，未到货前不计现货。产品路线不含专用NPU，软件证据聚焦推理，客户量产、分产品收入和在线更新范围未知</x:v>
      </x:c>
      <x:c r="G35" s="3" t="str">
        <x:v>Ambiq官方产品／SDK／Zephyr公告与DigiKey库存页；库存为2026-10-02快照</x:v>
      </x:c>
      <x:c r="H35" s="3" t="str">
        <x:v>https://www.digikey.com/en/products/detail/ambiq-micro-inc/AP510BEVB/28007828</x:v>
      </x:c>
      <x:c r="I35" s="4" t="d">
        <x:v>2026-10-02T00:00:00.000Z</x:v>
      </x:c>
      <x:c r="J35" s="2"/>
      <x:c r="K35" s="2"/>
      <x:c r="L35" s="2"/>
      <x:c r="M35" s="2"/>
      <x:c r="N35" s="2"/>
      <x:c r="O35" s="2"/>
    </x:row>
    <x:row r="36" ht="74" customHeight="1">
      <x:c r="A36" s="3" t="str">
        <x:v>C035</x:v>
      </x:c>
      <x:c r="B36" s="3" t="str">
        <x:v>World Labs</x:v>
      </x:c>
      <x:c r="C36" s="3" t="str">
        <x:v>模型与系统</x:v>
      </x:c>
      <x:c r="D36" s="3" t="str">
        <x:v>Atlas／Marble空间智能世界模型；World API；SceniX real-to-sim-to-real机器人仿真</x:v>
      </x:c>
      <x:c r="E36" s="3" t="str">
        <x:v>World Labs于2026年7月21日收购SceniX并展示R2S2R机器人训练与评估链；9月1日发布Atlas早期访问。AMD于9月26日签署、9月28日宣布约82亿美元全股票收购协议。</x:v>
      </x:c>
      <x:c r="F36" s="3" t="str">
        <x:v>AMD交易预计2026年底完成，仍需监管和交割条件，不能写成已完成。World Labs是模型／系统公司，不是类脑芯片厂商；未见采用事件数据、SNN或专用类脑芯片的证据。</x:v>
      </x:c>
      <x:c r="G36" s="3" t="str">
        <x:v>AMD 2026-09-28公告、2026-09-26 SEC 8-K及World Labs官方SceniX／Atlas资料；交易待完成</x:v>
      </x:c>
      <x:c r="H36" s="3" t="str">
        <x:v>https://ir.amd.com/news-events/press-releases/detail/1299/amd-to-acquire-world-labs-to-advance-the-future-of-ai-compute</x:v>
      </x:c>
      <x:c r="I36" s="4" t="d">
        <x:v>2026-10-02T00:00:00.000Z</x:v>
      </x:c>
      <x:c r="J36" s="2"/>
      <x:c r="K36" s="2"/>
      <x:c r="L36" s="2"/>
      <x:c r="M36" s="2"/>
      <x:c r="N36" s="2"/>
      <x:c r="O36" s="2"/>
    </x:row>
    <x:row r="37" ht="74" customHeight="1">
      <x:c r="A37" s="3" t="str">
        <x:v>C036</x:v>
      </x:c>
      <x:c r="B37" s="3" t="str">
        <x:v>Aspirare Semi</x:v>
      </x:c>
      <x:c r="C37" s="3" t="str">
        <x:v>相邻替代</x:v>
      </x:c>
      <x:c r="D37" s="3" t="str">
        <x:v>未命名模拟AI芯片与模拟MAC知识产权</x:v>
      </x:c>
      <x:c r="E37" s="3" t="str">
        <x:v>官网给出模拟核心边缘AI定位；US20260057197A1于2026-02-26公开，申请人／受让人列为14873891 Canada Inc. dba Aspirare</x:v>
      </x:c>
      <x:c r="F37" s="3" t="str">
        <x:v>专利和网站不等于ASIC；型号、流片、样片、制程、数据表、评估板、代工、客户、融资与收入未知</x:v>
      </x:c>
      <x:c r="G37" s="3" t="str">
        <x:v>Aspirare官网、公开专利记录；检索2026-10-02</x:v>
      </x:c>
      <x:c r="H37" s="3" t="str">
        <x:v>https://patents.google.com/patent/US20260057197A1/en</x:v>
      </x:c>
      <x:c r="I37" s="4" t="d">
        <x:v>2026-10-02T00:00:00.000Z</x:v>
      </x:c>
      <x:c r="J37" s="2"/>
      <x:c r="K37" s="2"/>
      <x:c r="L37" s="2"/>
      <x:c r="M37" s="2"/>
      <x:c r="N37" s="2"/>
      <x:c r="O37" s="2"/>
    </x:row>
    <x:row r="38" ht="74" customHeight="1">
      <x:c r="A38" s="3" t="str">
        <x:v>C037</x:v>
      </x:c>
      <x:c r="B38" s="3" t="str">
        <x:v>千觉机器人 Xense Robotics</x:v>
      </x:c>
      <x:c r="C38" s="3" t="str">
        <x:v>模型与系统</x:v>
      </x:c>
      <x:c r="D38" s="3" t="str">
        <x:v>多模态触觉传感器、XTacFlow数采、TacVerse 1k与X-TouchMind V1 VTLA模型</x:v>
      </x:c>
      <x:c r="E38" s="3" t="str">
        <x:v>2026-07-16公司发布X-TouchMind V1与TacVerse 1k；官方说明模型统一视觉、语言、触觉、动作和本体状态。WAIC现场报道记录双臂折纸盒受扰后继续完成和耳机装配演示。</x:v>
      </x:c>
      <x:c r="F38" s="3" t="str">
        <x:v>属于触觉模型／系统层，不是SNN芯片证据。模型权重、代码、统一成功率、工业客户验收与收入未披露；官方原计划7月30日起开放数据申请，但本轮未检索到可核的Hugging Face／魔搭公开下载页。</x:v>
      </x:c>
      <x:c r="G38" s="3" t="str">
        <x:v>千觉公司一手发布；中国经营报／WAIC现场报道；检索2026-10-02</x:v>
      </x:c>
      <x:c r="H38" s="3" t="str">
        <x:v>https://www.xenserobotics.com/article/387/detail/25</x:v>
      </x:c>
      <x:c r="I38" s="4" t="d">
        <x:v>2026-10-02T00:00:00.000Z</x:v>
      </x:c>
      <x:c r="J38" s="2"/>
      <x:c r="K38" s="2"/>
      <x:c r="L38" s="2"/>
      <x:c r="M38" s="2"/>
      <x:c r="N38" s="2"/>
      <x:c r="O38" s="2"/>
    </x:row>
    <x:row r="39" ht="74" customHeight="1">
      <x:c r="A39" s="3" t="str">
        <x:v>C038</x:v>
      </x:c>
      <x:c r="B39" s="3" t="str">
        <x:v>ModelCat（原Eta Compute）</x:v>
      </x:c>
      <x:c r="C39" s="3" t="str">
        <x:v>相邻替代</x:v>
      </x:c>
      <x:c r="D39" s="3" t="str">
        <x:v>硬件感知的边缘AI模型构建、重定向与实机验证软件</x:v>
      </x:c>
      <x:c r="E39" s="3" t="str">
        <x:v>Eta Compute于2025年8月宣布更名ModelCat；当前官网和公司说明把核心定位转为AI-in-the-Loop模型构建平台。NXP官方资料将eIQ Model Creator列为ModelCat合作产品，并明确该工具采用订阅收费。</x:v>
      </x:c>
      <x:c r="F39" s="3" t="str">
        <x:v>当前公开产品是软件平台，不是自研神经拟态芯片；历史ECM3532／TENSAI硅片不能当作当前芯片供应。订阅入口和合作关系不证明客户规模、收入或模型性能宣称。</x:v>
      </x:c>
      <x:c r="G39" s="3" t="str">
        <x:v>ModelCat更名与当前产品说明、NXP eIQ FAQ；检索2026-10-02</x:v>
      </x:c>
      <x:c r="H39" s="3" t="str">
        <x:v>https://modelcat.ai/blog/why-we-changed-our-name-to-modelcat</x:v>
      </x:c>
      <x:c r="I39" s="4" t="d">
        <x:v>2026-10-02T00:00:00.000Z</x:v>
      </x:c>
      <x:c r="J39" s="2"/>
      <x:c r="K39" s="2"/>
      <x:c r="L39" s="2"/>
      <x:c r="M39" s="2"/>
      <x:c r="N39" s="2"/>
      <x:c r="O39" s="2"/>
    </x:row>
    <x:row r="40" ht="92" customHeight="1">
      <x:c r="A40" s="3"/>
      <x:c r="B40" s="3"/>
      <x:c r="C40" s="3"/>
      <x:c r="D40" s="3"/>
      <x:c r="E40" s="3"/>
      <x:c r="F40" s="3"/>
      <x:c r="G40" s="3"/>
      <x:c r="H40" s="3"/>
      <x:c r="I40" s="3"/>
      <x:c r="J40" s="2"/>
      <x:c r="K40" s="2"/>
      <x:c r="L40" s="2"/>
      <x:c r="M40" s="2"/>
      <x:c r="N40" s="2"/>
      <x:c r="O40" s="2"/>
    </x:row>
    <x:row r="41" ht="92" customHeight="1">
      <x:c r="A41" s="3"/>
      <x:c r="B41" s="3"/>
      <x:c r="C41" s="3"/>
      <x:c r="D41" s="3"/>
      <x:c r="E41" s="3"/>
      <x:c r="F41" s="3"/>
      <x:c r="G41" s="3"/>
      <x:c r="H41" s="3"/>
      <x:c r="I41" s="3"/>
      <x:c r="J41" s="2"/>
      <x:c r="K41" s="2"/>
      <x:c r="L41" s="2"/>
      <x:c r="M41" s="2"/>
      <x:c r="N41" s="2"/>
      <x:c r="O41" s="2"/>
    </x:row>
    <x:row r="42" ht="92" customHeight="1">
      <x:c r="A42" s="3"/>
      <x:c r="B42" s="3"/>
      <x:c r="C42" s="3"/>
      <x:c r="D42" s="3"/>
      <x:c r="E42" s="3"/>
      <x:c r="F42" s="3"/>
      <x:c r="G42" s="3"/>
      <x:c r="H42" s="3"/>
      <x:c r="I42" s="3"/>
      <x:c r="J42" s="2"/>
      <x:c r="K42" s="2"/>
      <x:c r="L42" s="2"/>
      <x:c r="M42" s="2"/>
      <x:c r="N42" s="2"/>
      <x:c r="O42" s="2"/>
    </x:row>
    <x:row r="43" ht="92" customHeight="1">
      <x:c r="A43" s="3"/>
      <x:c r="B43" s="3"/>
      <x:c r="C43" s="3"/>
      <x:c r="D43" s="3"/>
      <x:c r="E43" s="3"/>
      <x:c r="F43" s="3"/>
      <x:c r="G43" s="3"/>
      <x:c r="H43" s="3"/>
      <x:c r="I43" s="3"/>
      <x:c r="J43" s="2"/>
      <x:c r="K43" s="2"/>
      <x:c r="L43" s="2"/>
      <x:c r="M43" s="2"/>
      <x:c r="N43" s="2"/>
      <x:c r="O43" s="2"/>
    </x:row>
    <x:row r="44" ht="92" customHeight="1">
      <x:c r="A44" s="3"/>
      <x:c r="B44" s="3"/>
      <x:c r="C44" s="3"/>
      <x:c r="D44" s="3"/>
      <x:c r="E44" s="3"/>
      <x:c r="F44" s="3"/>
      <x:c r="G44" s="3"/>
      <x:c r="H44" s="3"/>
      <x:c r="I44" s="3"/>
      <x:c r="J44" s="2"/>
      <x:c r="K44" s="2"/>
      <x:c r="L44" s="2"/>
      <x:c r="M44" s="2"/>
      <x:c r="N44" s="2"/>
      <x:c r="O44" s="2"/>
    </x:row>
    <x:row r="45" ht="92" customHeight="1">
      <x:c r="A45" s="3"/>
      <x:c r="B45" s="3"/>
      <x:c r="C45" s="3"/>
      <x:c r="D45" s="3"/>
      <x:c r="E45" s="3"/>
      <x:c r="F45" s="3"/>
      <x:c r="G45" s="3"/>
      <x:c r="H45" s="3"/>
      <x:c r="I45" s="3"/>
      <x:c r="J45" s="2"/>
      <x:c r="K45" s="2"/>
      <x:c r="L45" s="2"/>
      <x:c r="M45" s="2"/>
      <x:c r="N45" s="2"/>
      <x:c r="O45" s="2"/>
    </x:row>
    <x:row r="46" ht="92" customHeight="1">
      <x:c r="A46" s="3"/>
      <x:c r="B46" s="3"/>
      <x:c r="C46" s="3"/>
      <x:c r="D46" s="3"/>
      <x:c r="E46" s="3"/>
      <x:c r="F46" s="3"/>
      <x:c r="G46" s="3"/>
      <x:c r="H46" s="3"/>
      <x:c r="I46" s="3"/>
      <x:c r="J46" s="2"/>
      <x:c r="K46" s="2"/>
      <x:c r="L46" s="2"/>
      <x:c r="M46" s="2"/>
      <x:c r="N46" s="2"/>
      <x:c r="O46" s="2"/>
    </x:row>
    <x:row r="47" ht="92" customHeight="1">
      <x:c r="A47" s="3"/>
      <x:c r="B47" s="3"/>
      <x:c r="C47" s="3"/>
      <x:c r="D47" s="3"/>
      <x:c r="E47" s="3"/>
      <x:c r="F47" s="3"/>
      <x:c r="G47" s="3"/>
      <x:c r="H47" s="3"/>
      <x:c r="I47" s="3"/>
      <x:c r="J47" s="2"/>
      <x:c r="K47" s="2"/>
      <x:c r="L47" s="2"/>
      <x:c r="M47" s="2"/>
      <x:c r="N47" s="2"/>
      <x:c r="O47" s="2"/>
    </x:row>
    <x:row r="48" ht="92" customHeight="1">
      <x:c r="A48" s="3"/>
      <x:c r="B48" s="3"/>
      <x:c r="C48" s="3"/>
      <x:c r="D48" s="3"/>
      <x:c r="E48" s="3"/>
      <x:c r="F48" s="3"/>
      <x:c r="G48" s="3"/>
      <x:c r="H48" s="3"/>
      <x:c r="I48" s="3"/>
      <x:c r="J48" s="2"/>
      <x:c r="K48" s="2"/>
      <x:c r="L48" s="2"/>
      <x:c r="M48" s="2"/>
      <x:c r="N48" s="2"/>
      <x:c r="O48" s="2"/>
    </x:row>
    <x:row r="49" ht="92" customHeight="1">
      <x:c r="A49" s="3"/>
      <x:c r="B49" s="3"/>
      <x:c r="C49" s="3"/>
      <x:c r="D49" s="3"/>
      <x:c r="E49" s="3"/>
      <x:c r="F49" s="3"/>
      <x:c r="G49" s="3"/>
      <x:c r="H49" s="3"/>
      <x:c r="I49" s="3"/>
      <x:c r="J49" s="2"/>
      <x:c r="K49" s="2"/>
      <x:c r="L49" s="2"/>
      <x:c r="M49" s="2"/>
      <x:c r="N49" s="2"/>
      <x:c r="O49" s="2"/>
    </x:row>
    <x:row r="50" ht="92" customHeight="1">
      <x:c r="A50" s="3"/>
      <x:c r="B50" s="3"/>
      <x:c r="C50" s="3"/>
      <x:c r="D50" s="3"/>
      <x:c r="E50" s="3"/>
      <x:c r="F50" s="3"/>
      <x:c r="G50" s="3"/>
      <x:c r="H50" s="3"/>
      <x:c r="I50" s="3"/>
      <x:c r="J50" s="2"/>
      <x:c r="K50" s="2"/>
      <x:c r="L50" s="2"/>
      <x:c r="M50" s="2"/>
      <x:c r="N50" s="2"/>
      <x:c r="O50" s="2"/>
    </x:row>
    <x:row r="51" ht="92" customHeight="1">
      <x:c r="A51" s="3"/>
      <x:c r="B51" s="3"/>
      <x:c r="C51" s="3"/>
      <x:c r="D51" s="3"/>
      <x:c r="E51" s="3"/>
      <x:c r="F51" s="3"/>
      <x:c r="G51" s="3"/>
      <x:c r="H51" s="3"/>
      <x:c r="I51" s="3"/>
      <x:c r="J51" s="2"/>
      <x:c r="K51" s="2"/>
      <x:c r="L51" s="2"/>
      <x:c r="M51" s="2"/>
      <x:c r="N51" s="2"/>
      <x:c r="O51" s="2"/>
    </x:row>
    <x:row r="52" ht="92" customHeight="1">
      <x:c r="A52" s="3"/>
      <x:c r="B52" s="3"/>
      <x:c r="C52" s="3"/>
      <x:c r="D52" s="3"/>
      <x:c r="E52" s="3"/>
      <x:c r="F52" s="3"/>
      <x:c r="G52" s="3"/>
      <x:c r="H52" s="3"/>
      <x:c r="I52" s="3"/>
      <x:c r="J52" s="2"/>
      <x:c r="K52" s="2"/>
      <x:c r="L52" s="2"/>
      <x:c r="M52" s="2"/>
      <x:c r="N52" s="2"/>
      <x:c r="O52" s="2"/>
    </x:row>
    <x:row r="53" ht="92" customHeight="1">
      <x:c r="A53" s="3"/>
      <x:c r="B53" s="3"/>
      <x:c r="C53" s="3"/>
      <x:c r="D53" s="3"/>
      <x:c r="E53" s="3"/>
      <x:c r="F53" s="3"/>
      <x:c r="G53" s="3"/>
      <x:c r="H53" s="3"/>
      <x:c r="I53" s="3"/>
      <x:c r="J53" s="2"/>
      <x:c r="K53" s="2"/>
      <x:c r="L53" s="2"/>
      <x:c r="M53" s="2"/>
      <x:c r="N53" s="2"/>
      <x:c r="O53" s="2"/>
    </x:row>
    <x:row r="54" ht="92" customHeight="1">
      <x:c r="A54" s="3"/>
      <x:c r="B54" s="3"/>
      <x:c r="C54" s="3"/>
      <x:c r="D54" s="3"/>
      <x:c r="E54" s="3"/>
      <x:c r="F54" s="3"/>
      <x:c r="G54" s="3"/>
      <x:c r="H54" s="3"/>
      <x:c r="I54" s="3"/>
      <x:c r="J54" s="2"/>
      <x:c r="K54" s="2"/>
      <x:c r="L54" s="2"/>
      <x:c r="M54" s="2"/>
      <x:c r="N54" s="2"/>
      <x:c r="O54" s="2"/>
    </x:row>
    <x:row r="55" ht="92" customHeight="1">
      <x:c r="A55" s="3"/>
      <x:c r="B55" s="3"/>
      <x:c r="C55" s="3"/>
      <x:c r="D55" s="3"/>
      <x:c r="E55" s="3"/>
      <x:c r="F55" s="3"/>
      <x:c r="G55" s="3"/>
      <x:c r="H55" s="3"/>
      <x:c r="I55" s="3"/>
      <x:c r="J55" s="2"/>
      <x:c r="K55" s="2"/>
      <x:c r="L55" s="2"/>
      <x:c r="M55" s="2"/>
      <x:c r="N55" s="2"/>
      <x:c r="O55" s="2"/>
    </x:row>
    <x:row r="56" ht="92" customHeight="1">
      <x:c r="A56" s="3"/>
      <x:c r="B56" s="3"/>
      <x:c r="C56" s="3"/>
      <x:c r="D56" s="3"/>
      <x:c r="E56" s="3"/>
      <x:c r="F56" s="3"/>
      <x:c r="G56" s="3"/>
      <x:c r="H56" s="3"/>
      <x:c r="I56" s="3"/>
      <x:c r="J56" s="2"/>
      <x:c r="K56" s="2"/>
      <x:c r="L56" s="2"/>
      <x:c r="M56" s="2"/>
      <x:c r="N56" s="2"/>
      <x:c r="O56" s="2"/>
    </x:row>
    <x:row r="57" ht="92" customHeight="1">
      <x:c r="A57" s="3"/>
      <x:c r="B57" s="3"/>
      <x:c r="C57" s="3"/>
      <x:c r="D57" s="3"/>
      <x:c r="E57" s="3"/>
      <x:c r="F57" s="3"/>
      <x:c r="G57" s="3"/>
      <x:c r="H57" s="3"/>
      <x:c r="I57" s="3"/>
      <x:c r="J57" s="2"/>
      <x:c r="K57" s="2"/>
      <x:c r="L57" s="2"/>
      <x:c r="M57" s="2"/>
      <x:c r="N57" s="2"/>
      <x:c r="O57" s="2"/>
    </x:row>
    <x:row r="58" ht="92" customHeight="1">
      <x:c r="A58" s="3"/>
      <x:c r="B58" s="3"/>
      <x:c r="C58" s="3"/>
      <x:c r="D58" s="3"/>
      <x:c r="E58" s="3"/>
      <x:c r="F58" s="3"/>
      <x:c r="G58" s="3"/>
      <x:c r="H58" s="3"/>
      <x:c r="I58" s="3"/>
      <x:c r="J58" s="2"/>
      <x:c r="K58" s="2"/>
      <x:c r="L58" s="2"/>
      <x:c r="M58" s="2"/>
      <x:c r="N58" s="2"/>
      <x:c r="O58" s="2"/>
    </x:row>
    <x:row r="59" ht="92" customHeight="1">
      <x:c r="A59" s="3"/>
      <x:c r="B59" s="3"/>
      <x:c r="C59" s="3"/>
      <x:c r="D59" s="3"/>
      <x:c r="E59" s="3"/>
      <x:c r="F59" s="3"/>
      <x:c r="G59" s="3"/>
      <x:c r="H59" s="3"/>
      <x:c r="I59" s="3"/>
      <x:c r="J59" s="2"/>
      <x:c r="K59" s="2"/>
      <x:c r="L59" s="2"/>
      <x:c r="M59" s="2"/>
      <x:c r="N59" s="2"/>
      <x:c r="O59" s="2"/>
    </x:row>
    <x:row r="60" ht="92" customHeight="1">
      <x:c r="A60" s="3"/>
      <x:c r="B60" s="3"/>
      <x:c r="C60" s="3"/>
      <x:c r="D60" s="3"/>
      <x:c r="E60" s="3"/>
      <x:c r="F60" s="3"/>
      <x:c r="G60" s="3"/>
      <x:c r="H60" s="3"/>
      <x:c r="I60" s="3"/>
      <x:c r="J60" s="2"/>
      <x:c r="K60" s="2"/>
      <x:c r="L60" s="2"/>
      <x:c r="M60" s="2"/>
      <x:c r="N60" s="2"/>
      <x:c r="O60" s="2"/>
    </x:row>
    <x:row r="61" ht="92" customHeight="1">
      <x:c r="A61" s="3"/>
      <x:c r="B61" s="3"/>
      <x:c r="C61" s="3"/>
      <x:c r="D61" s="3"/>
      <x:c r="E61" s="3"/>
      <x:c r="F61" s="3"/>
      <x:c r="G61" s="3"/>
      <x:c r="H61" s="3"/>
      <x:c r="I61" s="3"/>
    </x:row>
  </x:sheetData>
  <x:pageMargins left="0.7" right="0.7" top="0.75" bottom="0.75" header="0.3" footer="0.3"/>
  <x:tableParts count="1">
    <x:tablePart xmlns:r="http://schemas.openxmlformats.org/officeDocument/2006/relationships" r:id="Rf45ebfc9427f4f76"/>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27" hidden="0" customWidth="1"/>
    <x:col min="3" max="3" width="27" hidden="0" customWidth="1"/>
    <x:col min="4" max="4" width="27" hidden="0" customWidth="1"/>
    <x:col min="5" max="5" width="27" hidden="0" customWidth="1"/>
    <x:col min="6" max="6" width="16" hidden="0" customWidth="1"/>
    <x:col min="7" max="7" width="16" hidden="0" customWidth="1"/>
    <x:col min="8" max="8" width="16" hidden="0" customWidth="1"/>
    <x:col min="9" max="9" width="62" hidden="0" customWidth="1"/>
    <x:col min="10" max="10" width="62" hidden="0" customWidth="1"/>
  </x:cols>
  <x:sheetData>
    <x:row r="1" ht="36" customHeight="1">
      <x:c r="A1" s="3" t="str">
        <x:v>编号</x:v>
      </x:c>
      <x:c r="B1" s="3" t="str">
        <x:v>主体</x:v>
      </x:c>
      <x:c r="C1" s="3" t="str">
        <x:v>产品组</x:v>
      </x:c>
      <x:c r="D1" s="3" t="str">
        <x:v>证据阶段</x:v>
      </x:c>
      <x:c r="E1" s="3" t="str">
        <x:v>证据类型</x:v>
      </x:c>
      <x:c r="F1" s="3" t="str">
        <x:v>发布日期</x:v>
      </x:c>
      <x:c r="G1" s="3" t="str">
        <x:v>事件日期</x:v>
      </x:c>
      <x:c r="H1" s="3" t="str">
        <x:v>检索日期</x:v>
      </x:c>
      <x:c r="I1" s="3" t="str">
        <x:v>边界与待核</x:v>
      </x:c>
      <x:c r="J1" s="3" t="str">
        <x:v>原始URL</x:v>
      </x:c>
      <x:c r="K1" s="2"/>
      <x:c r="L1" s="2"/>
      <x:c r="M1" s="2"/>
      <x:c r="N1" s="2"/>
      <x:c r="O1" s="2"/>
    </x:row>
    <x:row r="2" ht="68" customHeight="1">
      <x:c r="A2" s="3" t="str">
        <x:v>P001</x:v>
      </x:c>
      <x:c r="B2" s="3" t="str">
        <x:v>BrainChip</x:v>
      </x:c>
      <x:c r="C2" s="3" t="str">
        <x:v>AKD1500模块与开发板</x:v>
      </x:c>
      <x:c r="D2" s="3" t="str">
        <x:v>可采购硬件</x:v>
      </x:c>
      <x:c r="E2" s="3" t="str">
        <x:v>公开商品入口</x:v>
      </x:c>
      <x:c r="F2" s="4" t="d">
        <x:v>2026-09-17T00:00:00.000Z</x:v>
      </x:c>
      <x:c r="G2" s="4"/>
      <x:c r="H2" s="4" t="d">
        <x:v>2026-10-02T00:00:00.000Z</x:v>
      </x:c>
      <x:c r="I2" s="3" t="str">
        <x:v>终端量产、客户数量和独立收入未知</x:v>
      </x:c>
      <x:c r="J2" s="3" t="str">
        <x:v>https://investor.brainchip.com/press/brainchip-launches-akd1500-pcie-card-for-edge-ai-evaluation-everywhere/</x:v>
      </x:c>
      <x:c r="K2" s="2"/>
      <x:c r="L2" s="2"/>
      <x:c r="M2" s="2"/>
      <x:c r="N2" s="2"/>
      <x:c r="O2" s="2"/>
    </x:row>
    <x:row r="3" ht="68" customHeight="1">
      <x:c r="A3" s="3" t="str">
        <x:v>P002</x:v>
      </x:c>
      <x:c r="B3" s="3" t="str">
        <x:v>Innatera</x:v>
      </x:c>
      <x:c r="C3" s="3" t="str">
        <x:v>Pulsar／Joya EdgeCore</x:v>
      </x:c>
      <x:c r="D3" s="3" t="str">
        <x:v>客户评估／模块</x:v>
      </x:c>
      <x:c r="E3" s="3" t="str">
        <x:v>具名客户模块公告</x:v>
      </x:c>
      <x:c r="F3" s="4" t="d">
        <x:v>2026-03-26T00:00:00.000Z</x:v>
      </x:c>
      <x:c r="G3" s="4"/>
      <x:c r="H3" s="4" t="d">
        <x:v>2026-10-02T00:00:00.000Z</x:v>
      </x:c>
      <x:c r="I3" s="3" t="str">
        <x:v>终端批量销售和收入未知</x:v>
      </x:c>
      <x:c r="J3" s="3" t="str">
        <x:v>https://www.innatera.com/newsroom/joya-design-takes-neuromorphic-chip-from-design-to-device-with-first-innatera-powered-consumer-audio-product-at-awe-china/</x:v>
      </x:c>
      <x:c r="K3" s="2"/>
      <x:c r="L3" s="2"/>
      <x:c r="M3" s="2"/>
      <x:c r="N3" s="2"/>
      <x:c r="O3" s="2"/>
    </x:row>
    <x:row r="4" ht="68" customHeight="1">
      <x:c r="A4" s="3" t="str">
        <x:v>P003</x:v>
      </x:c>
      <x:c r="B4" s="3" t="str">
        <x:v>SynSense</x:v>
      </x:c>
      <x:c r="C4" s="3" t="str">
        <x:v>Speck</x:v>
      </x:c>
      <x:c r="D4" s="3" t="str">
        <x:v>开发平台</x:v>
      </x:c>
      <x:c r="E4" s="3" t="str">
        <x:v>官方开发资料</x:v>
      </x:c>
      <x:c r="F4" s="4"/>
      <x:c r="G4" s="4"/>
      <x:c r="H4" s="4" t="d">
        <x:v>2026-10-02T00:00:00.000Z</x:v>
      </x:c>
      <x:c r="I4" s="3" t="str">
        <x:v>当前公开库存未核</x:v>
      </x:c>
      <x:c r="J4" s="3" t="str">
        <x:v>https://www.synsense.ai/products/speck-2/</x:v>
      </x:c>
      <x:c r="K4" s="2"/>
      <x:c r="L4" s="2"/>
      <x:c r="M4" s="2"/>
      <x:c r="N4" s="2"/>
      <x:c r="O4" s="2"/>
    </x:row>
    <x:row r="5" ht="68" customHeight="1">
      <x:c r="A5" s="3" t="str">
        <x:v>P004</x:v>
      </x:c>
      <x:c r="B5" s="3" t="str">
        <x:v>SynSense</x:v>
      </x:c>
      <x:c r="C5" s="3" t="str">
        <x:v>Aeveon</x:v>
      </x:c>
      <x:c r="D5" s="3" t="str">
        <x:v>方案／研发</x:v>
      </x:c>
      <x:c r="E5" s="3" t="str">
        <x:v>公司发布与销售联系</x:v>
      </x:c>
      <x:c r="F5" s="4" t="d">
        <x:v>2026-06-24T00:00:00.000Z</x:v>
      </x:c>
      <x:c r="G5" s="4"/>
      <x:c r="H5" s="4" t="d">
        <x:v>2026-10-02T00:00:00.000Z</x:v>
      </x:c>
      <x:c r="I5" s="3" t="str">
        <x:v>数据表、开发板、价格与生产状态未知</x:v>
      </x:c>
      <x:c r="J5" s="3" t="str">
        <x:v>https://www.synsense.ai/synsense-closes-strategic-round-to-accelerate-the-development-of-their-high-speed-3d-neuromorphic-processor-dynap-cnn2-2/</x:v>
      </x:c>
      <x:c r="K5" s="2"/>
      <x:c r="L5" s="2"/>
      <x:c r="M5" s="2"/>
      <x:c r="N5" s="2"/>
      <x:c r="O5" s="2"/>
    </x:row>
    <x:row r="6" ht="68" customHeight="1">
      <x:c r="A6" s="3" t="str">
        <x:v>P005</x:v>
      </x:c>
      <x:c r="B6" s="3" t="str">
        <x:v>iniVation</x:v>
      </x:c>
      <x:c r="C6" s="3" t="str">
        <x:v>DVXplorer／DAVIS346</x:v>
      </x:c>
      <x:c r="D6" s="3" t="str">
        <x:v>可采购硬件</x:v>
      </x:c>
      <x:c r="E6" s="3" t="str">
        <x:v>官方商店</x:v>
      </x:c>
      <x:c r="F6" s="4"/>
      <x:c r="G6" s="4"/>
      <x:c r="H6" s="4" t="d">
        <x:v>2026-10-02T00:00:00.000Z</x:v>
      </x:c>
      <x:c r="I6" s="3" t="str">
        <x:v>开发相机可买不等于终端量产</x:v>
      </x:c>
      <x:c r="J6" s="3" t="str">
        <x:v>https://shop.inivation.com/</x:v>
      </x:c>
      <x:c r="K6" s="2"/>
      <x:c r="L6" s="2"/>
      <x:c r="M6" s="2"/>
      <x:c r="N6" s="2"/>
      <x:c r="O6" s="2"/>
    </x:row>
    <x:row r="7" ht="68" customHeight="1">
      <x:c r="A7" s="3" t="str">
        <x:v>P006</x:v>
      </x:c>
      <x:c r="B7" s="3" t="str">
        <x:v>Prophesee／Sony生态</x:v>
      </x:c>
      <x:c r="C7" s="3" t="str">
        <x:v>IMX636伙伴相机</x:v>
      </x:c>
      <x:c r="D7" s="3" t="str">
        <x:v>可采购硬件</x:v>
      </x:c>
      <x:c r="E7" s="3" t="str">
        <x:v>伙伴商品与生命周期页</x:v>
      </x:c>
      <x:c r="F7" s="4"/>
      <x:c r="G7" s="4"/>
      <x:c r="H7" s="4" t="d">
        <x:v>2026-10-02T00:00:00.000Z</x:v>
      </x:c>
      <x:c r="I7" s="3" t="str">
        <x:v>伙伴相机销售不能计作传感器收入</x:v>
      </x:c>
      <x:c r="J7" s="3" t="str">
        <x:v>https://en.ids-imaging.com/store/ueye-xcp-e.html</x:v>
      </x:c>
      <x:c r="K7" s="2"/>
      <x:c r="L7" s="2"/>
      <x:c r="M7" s="2"/>
      <x:c r="N7" s="2"/>
      <x:c r="O7" s="2"/>
    </x:row>
    <x:row r="8" ht="68" customHeight="1">
      <x:c r="A8" s="3" t="str">
        <x:v>P007</x:v>
      </x:c>
      <x:c r="B8" s="3" t="str">
        <x:v>Prophesee</x:v>
      </x:c>
      <x:c r="C8" s="3" t="str">
        <x:v>Mantara</x:v>
      </x:c>
      <x:c r="D8" s="3" t="str">
        <x:v>客户评估／模块</x:v>
      </x:c>
      <x:c r="E8" s="3" t="str">
        <x:v>厂商现场验证声明</x:v>
      </x:c>
      <x:c r="F8" s="4" t="d">
        <x:v>2026-06-15T00:00:00.000Z</x:v>
      </x:c>
      <x:c r="G8" s="4"/>
      <x:c r="H8" s="4" t="d">
        <x:v>2026-10-02T00:00:00.000Z</x:v>
      </x:c>
      <x:c r="I8" s="3" t="str">
        <x:v>未见具名采购与部署数量</x:v>
      </x:c>
      <x:c r="J8" s="3" t="str">
        <x:v>https://www.prophesee.ai/2026/06/15/prophesee-launches-mantara-event-based-drone-detection/</x:v>
      </x:c>
      <x:c r="K8" s="2"/>
      <x:c r="L8" s="2"/>
      <x:c r="M8" s="2"/>
      <x:c r="N8" s="2"/>
      <x:c r="O8" s="2"/>
    </x:row>
    <x:row r="9" ht="68" customHeight="1">
      <x:c r="A9" s="3" t="str">
        <x:v>P008</x:v>
      </x:c>
      <x:c r="B9" s="3" t="str">
        <x:v>POLYN</x:v>
      </x:c>
      <x:c r="C9" s="3" t="str">
        <x:v>VibroSense TMS</x:v>
      </x:c>
      <x:c r="D9" s="3" t="str">
        <x:v>客户评估／模块</x:v>
      </x:c>
      <x:c r="E9" s="3" t="str">
        <x:v>公司工程节点评估公告</x:v>
      </x:c>
      <x:c r="F9" s="4" t="d">
        <x:v>2026-09-28T00:00:00.000Z</x:v>
      </x:c>
      <x:c r="G9" s="4"/>
      <x:c r="H9" s="4" t="d">
        <x:v>2026-10-02T00:00:00.000Z</x:v>
      </x:c>
      <x:c r="I9" s="3" t="str">
        <x:v>仍为工程芯片，非量产</x:v>
      </x:c>
      <x:c r="J9" s="3" t="str">
        <x:v>https://polyn.ai/polyn-delivers-first-vibrosense-tms-engineering-sensor-nodes-for-customer-evaluation/</x:v>
      </x:c>
      <x:c r="K9" s="2"/>
      <x:c r="L9" s="2"/>
      <x:c r="M9" s="2"/>
      <x:c r="N9" s="2"/>
      <x:c r="O9" s="2"/>
    </x:row>
    <x:row r="10" ht="68" customHeight="1">
      <x:c r="A10" s="3" t="str">
        <x:v>P009</x:v>
      </x:c>
      <x:c r="B10" s="3" t="str">
        <x:v>POLYN</x:v>
      </x:c>
      <x:c r="C10" s="3" t="str">
        <x:v>VibroSense IIOT</x:v>
      </x:c>
      <x:c r="D10" s="3" t="str">
        <x:v>研究／原型</x:v>
      </x:c>
      <x:c r="E10" s="3" t="str">
        <x:v>公司项目状态</x:v>
      </x:c>
      <x:c r="F10" s="4"/>
      <x:c r="G10" s="4"/>
      <x:c r="H10" s="4" t="d">
        <x:v>2026-10-02T00:00:00.000Z</x:v>
      </x:c>
      <x:c r="I10" s="3" t="str">
        <x:v>仿真原型，商务暂停</x:v>
      </x:c>
      <x:c r="J10" s="3" t="str">
        <x:v>https://polyn.ai/content/how-much-vibration-data-must-a-maintenance-sensor-node-move</x:v>
      </x:c>
      <x:c r="K10" s="2"/>
      <x:c r="L10" s="2"/>
      <x:c r="M10" s="2"/>
      <x:c r="N10" s="2"/>
      <x:c r="O10" s="2"/>
    </x:row>
    <x:row r="11" ht="68" customHeight="1">
      <x:c r="A11" s="3" t="str">
        <x:v>P010</x:v>
      </x:c>
      <x:c r="B11" s="3" t="str">
        <x:v>Blumind</x:v>
      </x:c>
      <x:c r="C11" s="3" t="str">
        <x:v>BM110／BM210／AMPL</x:v>
      </x:c>
      <x:c r="D11" s="3" t="str">
        <x:v>IP／商务接洽</x:v>
      </x:c>
      <x:c r="E11" s="3" t="str">
        <x:v>官网硅验证与联系式获取</x:v>
      </x:c>
      <x:c r="F11" s="4"/>
      <x:c r="G11" s="4"/>
      <x:c r="H11" s="4" t="d">
        <x:v>2026-10-02T00:00:00.000Z</x:v>
      </x:c>
      <x:c r="I11" s="3" t="str">
        <x:v>数据表、库存、客户及收入未知</x:v>
      </x:c>
      <x:c r="J11" s="3" t="str">
        <x:v>https://blumind.ai/products/</x:v>
      </x:c>
      <x:c r="K11" s="2"/>
      <x:c r="L11" s="2"/>
      <x:c r="M11" s="2"/>
      <x:c r="N11" s="2"/>
      <x:c r="O11" s="2"/>
    </x:row>
    <x:row r="12" ht="68" customHeight="1">
      <x:c r="A12" s="3" t="str">
        <x:v>P011</x:v>
      </x:c>
      <x:c r="B12" s="3" t="str">
        <x:v>Aspinity</x:v>
      </x:c>
      <x:c r="C12" s="3" t="str">
        <x:v>AML100</x:v>
      </x:c>
      <x:c r="D12" s="3" t="str">
        <x:v>生产／部署声明</x:v>
      </x:c>
      <x:c r="E12" s="3" t="str">
        <x:v>公司生产IC声明</x:v>
      </x:c>
      <x:c r="F12" s="4"/>
      <x:c r="G12" s="4"/>
      <x:c r="H12" s="4" t="d">
        <x:v>2026-10-02T00:00:00.000Z</x:v>
      </x:c>
      <x:c r="I12" s="3" t="str">
        <x:v>客户、数量和收入未知</x:v>
      </x:c>
      <x:c r="J12" s="3" t="str">
        <x:v>https://www.aspinity.com/products.html</x:v>
      </x:c>
      <x:c r="K12" s="2"/>
      <x:c r="L12" s="2"/>
      <x:c r="M12" s="2"/>
      <x:c r="N12" s="2"/>
      <x:c r="O12" s="2"/>
    </x:row>
    <x:row r="13" ht="68" customHeight="1">
      <x:c r="A13" s="3" t="str">
        <x:v>P012</x:v>
      </x:c>
      <x:c r="B13" s="3" t="str">
        <x:v>Aspinity</x:v>
      </x:c>
      <x:c r="C13" s="3" t="str">
        <x:v>AML200</x:v>
      </x:c>
      <x:c r="D13" s="3" t="str">
        <x:v>工程样片</x:v>
      </x:c>
      <x:c r="E13" s="3" t="str">
        <x:v>公司测试芯片验证</x:v>
      </x:c>
      <x:c r="F13" s="4"/>
      <x:c r="G13" s="4"/>
      <x:c r="H13" s="4" t="d">
        <x:v>2026-10-02T00:00:00.000Z</x:v>
      </x:c>
      <x:c r="I13" s="3" t="str">
        <x:v>开发中，不能归为量产</x:v>
      </x:c>
      <x:c r="J13" s="3" t="str">
        <x:v>https://www.aspinity.com/products.html</x:v>
      </x:c>
      <x:c r="K13" s="2"/>
      <x:c r="L13" s="2"/>
      <x:c r="M13" s="2"/>
      <x:c r="N13" s="2"/>
      <x:c r="O13" s="2"/>
    </x:row>
    <x:row r="14" ht="68" customHeight="1">
      <x:c r="A14" s="3" t="str">
        <x:v>P013</x:v>
      </x:c>
      <x:c r="B14" s="3" t="str">
        <x:v>Mythic</x:v>
      </x:c>
      <x:c r="C14" s="3" t="str">
        <x:v>M1</x:v>
      </x:c>
      <x:c r="D14" s="3" t="str">
        <x:v>客户评估／模块</x:v>
      </x:c>
      <x:c r="E14" s="3" t="str">
        <x:v>公司立即评估入口</x:v>
      </x:c>
      <x:c r="F14" s="4"/>
      <x:c r="G14" s="4"/>
      <x:c r="H14" s="4" t="d">
        <x:v>2026-10-02T00:00:00.000Z</x:v>
      </x:c>
      <x:c r="I14" s="3" t="str">
        <x:v>现货、价格和量产客户未知</x:v>
      </x:c>
      <x:c r="J14" s="3" t="str">
        <x:v>https://www.mythic.ai/m-1</x:v>
      </x:c>
      <x:c r="K14" s="2"/>
      <x:c r="L14" s="2"/>
      <x:c r="M14" s="2"/>
      <x:c r="N14" s="2"/>
      <x:c r="O14" s="2"/>
    </x:row>
    <x:row r="15" ht="68" customHeight="1">
      <x:c r="A15" s="3" t="str">
        <x:v>P014</x:v>
      </x:c>
      <x:c r="B15" s="3" t="str">
        <x:v>MemryX</x:v>
      </x:c>
      <x:c r="C15" s="3" t="str">
        <x:v>MX3／Cascade</x:v>
      </x:c>
      <x:c r="D15" s="3" t="str">
        <x:v>生产／部署声明</x:v>
      </x:c>
      <x:c r="E15" s="3" t="str">
        <x:v>具名生产线部署联合稿</x:v>
      </x:c>
      <x:c r="F15" s="4" t="d">
        <x:v>2026-08-31T00:00:00.000Z</x:v>
      </x:c>
      <x:c r="G15" s="4"/>
      <x:c r="H15" s="4" t="d">
        <x:v>2026-10-02T00:00:00.000Z</x:v>
      </x:c>
      <x:c r="I15" s="3" t="str">
        <x:v>合同金额、数量与收入未知</x:v>
      </x:c>
      <x:c r="J15" s="3" t="str">
        <x:v>https://memryx.ai/news/express-luck-selects-memryx-for-ai-enabled-smart-manufacturing-operations/</x:v>
      </x:c>
      <x:c r="K15" s="2"/>
      <x:c r="L15" s="2"/>
      <x:c r="M15" s="2"/>
      <x:c r="N15" s="2"/>
      <x:c r="O15" s="2"/>
    </x:row>
    <x:row r="16" ht="68" customHeight="1">
      <x:c r="A16" s="3" t="str">
        <x:v>P015</x:v>
      </x:c>
      <x:c r="B16" s="3" t="str">
        <x:v>Synthara</x:v>
      </x:c>
      <x:c r="C16" s="3" t="str">
        <x:v>ComputeRAM</x:v>
      </x:c>
      <x:c r="D16" s="3" t="str">
        <x:v>IP／商务接洽</x:v>
      </x:c>
      <x:c r="E16" s="3" t="str">
        <x:v>官方硅验证IP资料</x:v>
      </x:c>
      <x:c r="F16" s="4"/>
      <x:c r="G16" s="4"/>
      <x:c r="H16" s="4" t="d">
        <x:v>2026-10-02T00:00:00.000Z</x:v>
      </x:c>
      <x:c r="I16" s="3" t="str">
        <x:v>公开SDK、封装芯片和design win未核</x:v>
      </x:c>
      <x:c r="J16" s="3" t="str">
        <x:v>https://synthara.ai/wp-content/uploads/2025/03/EW-version-Leaflet-Trifolds.pdf</x:v>
      </x:c>
      <x:c r="K16" s="2"/>
      <x:c r="L16" s="2"/>
      <x:c r="M16" s="2"/>
      <x:c r="N16" s="2"/>
      <x:c r="O16" s="2"/>
    </x:row>
    <x:row r="17" ht="68" customHeight="1">
      <x:c r="A17" s="3" t="str">
        <x:v>P016</x:v>
      </x:c>
      <x:c r="B17" s="3" t="str">
        <x:v>Rain AI</x:v>
      </x:c>
      <x:c r="C17" s="3" t="str">
        <x:v>数字CIM tile IP</x:v>
      </x:c>
      <x:c r="D17" s="3" t="str">
        <x:v>IP／商务接洽</x:v>
      </x:c>
      <x:c r="E17" s="3" t="str">
        <x:v>公司IP可授权声明</x:v>
      </x:c>
      <x:c r="F17" s="4"/>
      <x:c r="G17" s="4"/>
      <x:c r="H17" s="4" t="d">
        <x:v>2026-10-02T00:00:00.000Z</x:v>
      </x:c>
      <x:c r="I17" s="3" t="str">
        <x:v>硬件尚待推出，未核硅验证</x:v>
      </x:c>
      <x:c r="J17" s="3" t="str">
        <x:v>https://rain.ai/products</x:v>
      </x:c>
      <x:c r="K17" s="2"/>
      <x:c r="L17" s="2"/>
      <x:c r="M17" s="2"/>
      <x:c r="N17" s="2"/>
      <x:c r="O17" s="2"/>
    </x:row>
    <x:row r="18" ht="68" customHeight="1">
      <x:c r="A18" s="3" t="str">
        <x:v>P017</x:v>
      </x:c>
      <x:c r="B18" s="3" t="str">
        <x:v>REEXEN</x:v>
      </x:c>
      <x:c r="C18" s="3" t="str">
        <x:v>既有边缘芯片</x:v>
      </x:c>
      <x:c r="D18" s="3" t="str">
        <x:v>生产／部署声明</x:v>
      </x:c>
      <x:c r="E18" s="3" t="str">
        <x:v>媒体转述公司量产与订单</x:v>
      </x:c>
      <x:c r="F18" s="4" t="d">
        <x:v>2025-09-24T00:00:00.000Z</x:v>
      </x:c>
      <x:c r="G18" s="4"/>
      <x:c r="H18" s="4" t="d">
        <x:v>2026-10-02T00:00:00.000Z</x:v>
      </x:c>
      <x:c r="I18" s="3" t="str">
        <x:v>客户未具名，非审计收入</x:v>
      </x:c>
      <x:c r="J18" s="3" t="str">
        <x:v>https://news.pedaily.cn/202509/555264.shtml</x:v>
      </x:c>
      <x:c r="K18" s="2"/>
      <x:c r="L18" s="2"/>
      <x:c r="M18" s="2"/>
      <x:c r="N18" s="2"/>
      <x:c r="O18" s="2"/>
    </x:row>
    <x:row r="19" ht="68" customHeight="1">
      <x:c r="A19" s="3" t="str">
        <x:v>P018</x:v>
      </x:c>
      <x:c r="B19" s="3" t="str">
        <x:v>REEXEN</x:v>
      </x:c>
      <x:c r="C19" s="3" t="str">
        <x:v>HBF／ADA300／400</x:v>
      </x:c>
      <x:c r="D19" s="3" t="str">
        <x:v>方案／研发</x:v>
      </x:c>
      <x:c r="E19" s="3" t="str">
        <x:v>官网产品方案</x:v>
      </x:c>
      <x:c r="F19" s="4"/>
      <x:c r="G19" s="4"/>
      <x:c r="H19" s="4" t="d">
        <x:v>2026-10-02T00:00:00.000Z</x:v>
      </x:c>
      <x:c r="I19" s="3" t="str">
        <x:v>新产品样机、上市及采购未知</x:v>
      </x:c>
      <x:c r="J19" s="3" t="str">
        <x:v>https://www.reexen.com/</x:v>
      </x:c>
      <x:c r="K19" s="2"/>
      <x:c r="L19" s="2"/>
      <x:c r="M19" s="2"/>
      <x:c r="N19" s="2"/>
      <x:c r="O19" s="2"/>
    </x:row>
    <x:row r="20" ht="68" customHeight="1">
      <x:c r="A20" s="3" t="str">
        <x:v>P019</x:v>
      </x:c>
      <x:c r="B20" s="3" t="str">
        <x:v>维泛智能</x:v>
      </x:c>
      <x:c r="C20" s="3" t="str">
        <x:v>PAICORE 2.5</x:v>
      </x:c>
      <x:c r="D20" s="3" t="str">
        <x:v>工程样片</x:v>
      </x:c>
      <x:c r="E20" s="3" t="str">
        <x:v>高校项目与回片报道</x:v>
      </x:c>
      <x:c r="F20" s="4" t="d">
        <x:v>2026-05-15T00:00:00.000Z</x:v>
      </x:c>
      <x:c r="G20" s="4"/>
      <x:c r="H20" s="4" t="d">
        <x:v>2026-10-02T00:00:00.000Z</x:v>
      </x:c>
      <x:c r="I20" s="3" t="str">
        <x:v>量产为未来计划</x:v>
      </x:c>
      <x:c r="J20" s="3" t="str">
        <x:v>https://sie.pku.edu.cn/xwgg/xwdt/d5026a1ddd8949f4949404009fdb1002.htm</x:v>
      </x:c>
      <x:c r="K20" s="2"/>
      <x:c r="L20" s="2"/>
      <x:c r="M20" s="2"/>
      <x:c r="N20" s="2"/>
      <x:c r="O20" s="2"/>
    </x:row>
    <x:row r="21" ht="68" customHeight="1">
      <x:c r="A21" s="3" t="str">
        <x:v>P020</x:v>
      </x:c>
      <x:c r="B21" s="3" t="str">
        <x:v>具脑磐石</x:v>
      </x:c>
      <x:c r="C21" s="3" t="str">
        <x:v>Cog-WM／GLAM／PAVE</x:v>
      </x:c>
      <x:c r="D21" s="3" t="str">
        <x:v>IP／商务接洽</x:v>
      </x:c>
      <x:c r="E21" s="3" t="str">
        <x:v>官网公开按台／按年许可、软硬一体模组、行业方案与RaaS；媒体称客户现场部署</x:v>
      </x:c>
      <x:c r="F21" s="4" t="d">
        <x:v>2026-09-14T00:00:00.000Z</x:v>
      </x:c>
      <x:c r="G21" s="4" t="d">
        <x:v>2026-09-14T00:00:00.000Z</x:v>
      </x:c>
      <x:c r="H21" s="4" t="d">
        <x:v>2026-10-02T00:00:00.000Z</x:v>
      </x:c>
      <x:c r="I21" s="3" t="str">
        <x:v>商业形态已定义；无公开价格、模组SKU、具名付费客户、验收或收入，节能仍未实测</x:v>
      </x:c>
      <x:c r="J21" s="3" t="str">
        <x:v>https://www.ebkernel.com/</x:v>
      </x:c>
      <x:c r="K21" s="2"/>
      <x:c r="L21" s="2"/>
      <x:c r="M21" s="2"/>
      <x:c r="N21" s="2"/>
      <x:c r="O21" s="2"/>
    </x:row>
    <x:row r="22" ht="68" customHeight="1">
      <x:c r="A22" s="3" t="str">
        <x:v>P021</x:v>
      </x:c>
      <x:c r="B22" s="3" t="str">
        <x:v>AnalogAI</x:v>
      </x:c>
      <x:c r="C22" s="3" t="str">
        <x:v>首代模拟CIM处理器</x:v>
      </x:c>
      <x:c r="D22" s="3" t="str">
        <x:v>方案／研发</x:v>
      </x:c>
      <x:c r="E22" s="3" t="str">
        <x:v>Microchip IP选型公告</x:v>
      </x:c>
      <x:c r="F22" s="4" t="d">
        <x:v>2026-09-15T00:00:00.000Z</x:v>
      </x:c>
      <x:c r="G22" s="4"/>
      <x:c r="H22" s="4" t="d">
        <x:v>2026-10-02T00:00:00.000Z</x:v>
      </x:c>
      <x:c r="I22" s="3" t="str">
        <x:v>未见型号、流片、样片和客户</x:v>
      </x:c>
      <x:c r="J22" s="3" t="str">
        <x:v>https://ir.microchip.com/news-events/press-releases/detail/1414/analogai-selects-membrain-sage-intellectual-property-from-silicon-storage-technology-for-its-first-real-world-edge-ai-processors</x:v>
      </x:c>
      <x:c r="K22" s="2"/>
      <x:c r="L22" s="2"/>
      <x:c r="M22" s="2"/>
      <x:c r="N22" s="2"/>
      <x:c r="O22" s="2"/>
    </x:row>
    <x:row r="23" ht="68" customHeight="1">
      <x:c r="A23" s="3" t="str">
        <x:v>P022</x:v>
      </x:c>
      <x:c r="B23" s="3" t="str">
        <x:v>semiQa</x:v>
      </x:c>
      <x:c r="C23" s="3" t="str">
        <x:v>ANN1000／2000</x:v>
      </x:c>
      <x:c r="D23" s="3" t="str">
        <x:v>IP／商务接洽</x:v>
      </x:c>
      <x:c r="E23" s="3" t="str">
        <x:v>官网可授权IP定位</x:v>
      </x:c>
      <x:c r="F23" s="4"/>
      <x:c r="G23" s="4"/>
      <x:c r="H23" s="4" t="d">
        <x:v>2026-10-02T00:00:00.000Z</x:v>
      </x:c>
      <x:c r="I23" s="3" t="str">
        <x:v>量产定位非量产事实，未核硅验证</x:v>
      </x:c>
      <x:c r="J23" s="3" t="str">
        <x:v>https://semiqa.com/en/technology</x:v>
      </x:c>
      <x:c r="K23" s="2"/>
      <x:c r="L23" s="2"/>
      <x:c r="M23" s="2"/>
      <x:c r="N23" s="2"/>
      <x:c r="O23" s="2"/>
    </x:row>
    <x:row r="24" ht="68" customHeight="1">
      <x:c r="A24" s="3" t="str">
        <x:v>P023</x:v>
      </x:c>
      <x:c r="B24" s="3" t="str">
        <x:v>他山科技</x:v>
      </x:c>
      <x:c r="C24" s="3" t="str">
        <x:v>绿宝石E10A</x:v>
      </x:c>
      <x:c r="D24" s="3" t="str">
        <x:v>发布／演示</x:v>
      </x:c>
      <x:c r="E24" s="3" t="str">
        <x:v>展商一手产品自述＋7月17日发布报道；ASC脉冲转换为厂商描述</x:v>
      </x:c>
      <x:c r="F24" s="4" t="d">
        <x:v>2026-07-17T00:00:00.000Z</x:v>
      </x:c>
      <x:c r="G24" s="4" t="d">
        <x:v>2026-07-17T00:00:00.000Z</x:v>
      </x:c>
      <x:c r="H24" s="4" t="d">
        <x:v>2026-10-02T00:00:00.000Z</x:v>
      </x:c>
      <x:c r="I24" s="3" t="str">
        <x:v>已发布及演示；未见完整数据表、公开采购或量产客户，不能借传感器出货推断E10A销量</x:v>
      </x:c>
      <x:c r="J24" s="3" t="str">
        <x:v>https://www.worldrobotconference.com/expo/company/544.html</x:v>
      </x:c>
      <x:c r="K24" s="2"/>
      <x:c r="L24" s="2"/>
      <x:c r="M24" s="2"/>
      <x:c r="N24" s="2"/>
      <x:c r="O24" s="2"/>
    </x:row>
    <x:row r="25" ht="68" customHeight="1">
      <x:c r="A25" s="3" t="str">
        <x:v>P024</x:v>
      </x:c>
      <x:c r="B25" s="3" t="str">
        <x:v>他山科技</x:v>
      </x:c>
      <x:c r="C25" s="3" t="str">
        <x:v>既有触觉传感器产品族／TS-F-A仿真</x:v>
      </x:c>
      <x:c r="D25" s="3" t="str">
        <x:v>生产／部署声明</x:v>
      </x:c>
      <x:c r="E25" s="3" t="str">
        <x:v>IPO早知道9月23日全文转载的月交付声明；NVIDIA官方仿真资产及公开仓库交叉</x:v>
      </x:c>
      <x:c r="F25" s="4" t="d">
        <x:v>2026-09-23T00:00:00.000Z</x:v>
      </x:c>
      <x:c r="G25" s="4"/>
      <x:c r="H25" s="4" t="d">
        <x:v>2026-10-02T00:00:00.000Z</x:v>
      </x:c>
      <x:c r="I25" s="3" t="str">
        <x:v>月交付数万枚未审计且型号分拆未知；仿真收录不等于实物采购，不将80%无方法市占率作事实</x:v>
      </x:c>
      <x:c r="J25" s="3" t="str">
        <x:v>https://app.myzaker.com/news/article.php?pk=6ab4cca98e9f093c4e2c94c8</x:v>
      </x:c>
      <x:c r="K25" s="2"/>
      <x:c r="L25" s="2"/>
      <x:c r="M25" s="2"/>
      <x:c r="N25" s="2"/>
      <x:c r="O25" s="2"/>
    </x:row>
    <x:row r="26" ht="68" customHeight="1">
      <x:c r="A26" s="3" t="str">
        <x:v>P025</x:v>
      </x:c>
      <x:c r="B26" s="3" t="str">
        <x:v>STMicroelectronics</x:v>
      </x:c>
      <x:c r="C26" s="3" t="str">
        <x:v>STM32N657X0 MCU</x:v>
      </x:c>
      <x:c r="D26" s="3" t="str">
        <x:v>生产／部署声明</x:v>
      </x:c>
      <x:c r="E26" s="3" t="str">
        <x:v>官方量产状态与直购入口</x:v>
      </x:c>
      <x:c r="F26" s="4"/>
      <x:c r="G26" s="4"/>
      <x:c r="H26" s="4" t="d">
        <x:v>2026-10-02T00:00:00.000Z</x:v>
      </x:c>
      <x:c r="I26" s="3" t="str">
        <x:v>官网不同SKU状态需逐项核对；经销商库存未显示，终端量产客户与收入未知</x:v>
      </x:c>
      <x:c r="J26" s="3" t="str">
        <x:v>https://www.st.com/en/microcontrollers-microprocessors/stm32n657x0.html</x:v>
      </x:c>
      <x:c r="K26" s="2"/>
      <x:c r="L26" s="2"/>
      <x:c r="M26" s="2"/>
      <x:c r="N26" s="2"/>
      <x:c r="O26" s="2"/>
    </x:row>
    <x:row r="27" ht="68" customHeight="1">
      <x:c r="A27" s="3" t="str">
        <x:v>P026</x:v>
      </x:c>
      <x:c r="B27" s="3" t="str">
        <x:v>STMicroelectronics</x:v>
      </x:c>
      <x:c r="C27" s="3" t="str">
        <x:v>STM32N6570-DK／NUCLEO-N657X0-Q</x:v>
      </x:c>
      <x:c r="D27" s="3" t="str">
        <x:v>可采购硬件</x:v>
      </x:c>
      <x:c r="E27" s="3" t="str">
        <x:v>官方Active、直购／样品入口</x:v>
      </x:c>
      <x:c r="F27" s="4"/>
      <x:c r="G27" s="4"/>
      <x:c r="H27" s="4" t="d">
        <x:v>2026-10-02T00:00:00.000Z</x:v>
      </x:c>
      <x:c r="I27" s="3" t="str">
        <x:v>检索时无经销商库存报告；开发板可买不等于终端量产</x:v>
      </x:c>
      <x:c r="J27" s="3" t="str">
        <x:v>https://www.st.com/en/evaluation-tools/stm32n6570-dk.html</x:v>
      </x:c>
      <x:c r="K27" s="2"/>
      <x:c r="L27" s="2"/>
      <x:c r="M27" s="2"/>
      <x:c r="N27" s="2"/>
      <x:c r="O27" s="2"/>
    </x:row>
    <x:row r="28" ht="68" customHeight="1">
      <x:c r="A28" s="3" t="str">
        <x:v>P027</x:v>
      </x:c>
      <x:c r="B28" s="3" t="str">
        <x:v>NXP</x:v>
      </x:c>
      <x:c r="C28" s="3" t="str">
        <x:v>MIMXRT700-EVK</x:v>
      </x:c>
      <x:c r="D28" s="3" t="str">
        <x:v>可采购硬件</x:v>
      </x:c>
      <x:c r="E28" s="3" t="str">
        <x:v>官方Active商品页，2套现货、187.23美元</x:v>
      </x:c>
      <x:c r="F28" s="4"/>
      <x:c r="G28" s="4"/>
      <x:c r="H28" s="4" t="d">
        <x:v>2026-10-02T00:00:00.000Z</x:v>
      </x:c>
      <x:c r="I28" s="3" t="str">
        <x:v>库存是检索快照；终端设计定点、销量和收入未知</x:v>
      </x:c>
      <x:c r="J28" s="3" t="str">
        <x:v>https://www.nxp.com/design/design-center/software/development-software/mcuxpresso-software-and-tools-/i-mx-rt700-evaluation-kit:MIMXRT700-EVK</x:v>
      </x:c>
      <x:c r="K28" s="2"/>
      <x:c r="L28" s="2"/>
      <x:c r="M28" s="2"/>
      <x:c r="N28" s="2"/>
      <x:c r="O28" s="2"/>
    </x:row>
    <x:row r="29" ht="68" customHeight="1">
      <x:c r="A29" s="3" t="str">
        <x:v>P028</x:v>
      </x:c>
      <x:c r="B29" s="3" t="str">
        <x:v>Synaptics</x:v>
      </x:c>
      <x:c r="C29" s="3" t="str">
        <x:v>Astra Machina SL2610 Dev Kit</x:v>
      </x:c>
      <x:c r="D29" s="3" t="str">
        <x:v>可采购硬件</x:v>
      </x:c>
      <x:c r="E29" s="3" t="str">
        <x:v>官网列三家分销购买入口与完整开发文档</x:v>
      </x:c>
      <x:c r="F29" s="4" t="d">
        <x:v>2026-07-22T00:00:00.000Z</x:v>
      </x:c>
      <x:c r="G29" s="4"/>
      <x:c r="H29" s="4" t="d">
        <x:v>2026-10-02T00:00:00.000Z</x:v>
      </x:c>
      <x:c r="I29" s="3" t="str">
        <x:v>未逐家确认库存；开发套件不等于SL2610终端批量出货</x:v>
      </x:c>
      <x:c r="J29" s="3" t="str">
        <x:v>https://www.synaptics.com/products/embedded-processors/sl2610-product-line</x:v>
      </x:c>
      <x:c r="K29" s="2"/>
      <x:c r="L29" s="2"/>
      <x:c r="M29" s="2"/>
      <x:c r="N29" s="2"/>
      <x:c r="O29" s="2"/>
    </x:row>
    <x:row r="30" ht="68" customHeight="1">
      <x:c r="A30" s="3" t="str">
        <x:v>P029</x:v>
      </x:c>
      <x:c r="B30" s="3" t="str">
        <x:v>Hailo</x:v>
      </x:c>
      <x:c r="C30" s="3" t="str">
        <x:v>Hailo-10H M.2</x:v>
      </x:c>
      <x:c r="D30" s="3" t="str">
        <x:v>可采购硬件</x:v>
      </x:c>
      <x:c r="E30" s="3" t="str">
        <x:v>官方商业可用公告与当前商店入口</x:v>
      </x:c>
      <x:c r="F30" s="4" t="d">
        <x:v>2025-07-22T00:00:00.000Z</x:v>
      </x:c>
      <x:c r="G30" s="4" t="d">
        <x:v>2025-07-22T00:00:00.000Z</x:v>
      </x:c>
      <x:c r="H30" s="4" t="d">
        <x:v>2026-10-02T00:00:00.000Z</x:v>
      </x:c>
      <x:c r="I30" s="3" t="str">
        <x:v>未核销量与收入；汽车SOP是目标，性能功耗为厂商基准</x:v>
      </x:c>
      <x:c r="J30" s="3" t="str">
        <x:v>https://hailo.ai/company-overview/newsroom/news/hailo-announces-general-availability-of-hailo-10h-edge-ai-accelerator-with-generative-ai-capabilities/</x:v>
      </x:c>
      <x:c r="K30" s="2"/>
      <x:c r="L30" s="2"/>
      <x:c r="M30" s="2"/>
      <x:c r="N30" s="2"/>
      <x:c r="O30" s="2"/>
    </x:row>
    <x:row r="31" ht="68" customHeight="1">
      <x:c r="A31" s="3" t="str">
        <x:v>P030</x:v>
      </x:c>
      <x:c r="B31" s="3" t="str">
        <x:v>Ambiq</x:v>
      </x:c>
      <x:c r="C31" s="3" t="str">
        <x:v>Apollo510 EVB</x:v>
      </x:c>
      <x:c r="D31" s="3" t="str">
        <x:v>可采购硬件</x:v>
      </x:c>
      <x:c r="E31" s="3" t="str">
        <x:v>DigiKey 12套现货快照</x:v>
      </x:c>
      <x:c r="F31" s="4"/>
      <x:c r="G31" s="4"/>
      <x:c r="H31" s="4" t="d">
        <x:v>2026-10-02T00:00:00.000Z</x:v>
      </x:c>
      <x:c r="I31" s="3" t="str">
        <x:v>评估板现货不证明Apollo510芯片终端批量</x:v>
      </x:c>
      <x:c r="J31" s="3" t="str">
        <x:v>https://www.digikey.com/en/products/detail/ambiq-micro-inc/AP510BEVB/28007828</x:v>
      </x:c>
      <x:c r="K31" s="2"/>
      <x:c r="L31" s="2"/>
      <x:c r="M31" s="2"/>
      <x:c r="N31" s="2"/>
      <x:c r="O31" s="2"/>
    </x:row>
    <x:row r="32" ht="68" customHeight="1">
      <x:c r="A32" s="3" t="str">
        <x:v>P031</x:v>
      </x:c>
      <x:c r="B32" s="3" t="str">
        <x:v>Ambiq</x:v>
      </x:c>
      <x:c r="C32" s="3" t="str">
        <x:v>Apollo510 Lite芯片SKU</x:v>
      </x:c>
      <x:c r="D32" s="3" t="str">
        <x:v>客户评估／模块</x:v>
      </x:c>
      <x:c r="E32" s="3" t="str">
        <x:v>分销SKU Active、库存0，预计2026-10-05到货约4900颗</x:v>
      </x:c>
      <x:c r="F32" s="4" t="d">
        <x:v>2025-10-28T00:00:00.000Z</x:v>
      </x:c>
      <x:c r="G32" s="4"/>
      <x:c r="H32" s="4" t="d">
        <x:v>2026-10-02T00:00:00.000Z</x:v>
      </x:c>
      <x:c r="I32" s="3" t="str">
        <x:v>预计到货不是现货或已交付；批量客户与分产品收入未知</x:v>
      </x:c>
      <x:c r="J32" s="3" t="str">
        <x:v>https://www.digikey.com/en/products/detail/ambiq-micro-inc/AP510DLA-CBR/29182379</x:v>
      </x:c>
      <x:c r="K32" s="2"/>
      <x:c r="L32" s="2"/>
      <x:c r="M32" s="2"/>
      <x:c r="N32" s="2"/>
      <x:c r="O32" s="2"/>
    </x:row>
    <x:row r="33" ht="68" customHeight="1">
      <x:c r="A33" s="3" t="str">
        <x:v>P032</x:v>
      </x:c>
      <x:c r="B33" s="3" t="str">
        <x:v>SynSense</x:v>
      </x:c>
      <x:c r="C33" s="3" t="str">
        <x:v>类脑视觉产品（订单型号未披露）</x:v>
      </x:c>
      <x:c r="D33" s="3" t="str">
        <x:v>生产／部署声明</x:v>
      </x:c>
      <x:c r="E33" s="3" t="str">
        <x:v>参投方称具备批产能力并在手机、AR/VR、电网、安防、建筑、畜牧获得批量订单</x:v>
      </x:c>
      <x:c r="F33" s="4" t="d">
        <x:v>2026-07-14T00:00:00.000Z</x:v>
      </x:c>
      <x:c r="G33" s="4"/>
      <x:c r="H33" s="4" t="d">
        <x:v>2026-10-02T00:00:00.000Z</x:v>
      </x:c>
      <x:c r="I33" s="3" t="str">
        <x:v>未披露具体型号、客户、订单量、金额、交付和收入；不得直接映射为Aeveon或Speck</x:v>
      </x:c>
      <x:c r="J33" s="3" t="str">
        <x:v>https://www.hczb2019.com/hcdt/article-1128.html</x:v>
      </x:c>
      <x:c r="K33" s="2"/>
      <x:c r="L33" s="2"/>
      <x:c r="M33" s="2"/>
      <x:c r="N33" s="2"/>
      <x:c r="O33" s="2"/>
    </x:row>
    <x:row r="34" ht="68" customHeight="1">
      <x:c r="A34" s="3" t="str">
        <x:v>P033</x:v>
      </x:c>
      <x:c r="B34" s="3" t="str">
        <x:v>SpiNNcloud</x:v>
      </x:c>
      <x:c r="C34" s="3" t="str">
        <x:v>SpiNNaker2科研系统／Braunfels与莱比锡部署</x:v>
      </x:c>
      <x:c r="D34" s="3" t="str">
        <x:v>已签公共采购合同／科研部署</x:v>
      </x:c>
      <x:c r="E34" s="3" t="str">
        <x:v>Jülich公共采购结果确认336万欧元合同；Sandia与莱比锡大学作为使用方确认系统已到货／运行；软件公开镜像与教程可读</x:v>
      </x:c>
      <x:c r="F34" s="4" t="d">
        <x:v>2025-06-04T00:00:00.000Z</x:v>
      </x:c>
      <x:c r="G34" s="4"/>
      <x:c r="H34" s="4" t="d">
        <x:v>2026-10-02T00:00:00.000Z</x:v>
      </x:c>
      <x:c r="I34" s="3" t="str">
        <x:v>336万欧元是2026年2月25日合同授予值，不等于已付款或收入确认；与莱比锡约400万欧元科研设施资助分开。Jülich交付验收、收款、毛利、复购、规模化训练与同任务整机实测未知</x:v>
      </x:c>
      <x:c r="J34" s="3" t="str">
        <x:v>https://www.sandia.gov/research/news/brain-based-computing-for-nuclear-deterrence-solutions/</x:v>
      </x:c>
      <x:c r="K34" s="2"/>
      <x:c r="L34" s="2"/>
      <x:c r="M34" s="2"/>
      <x:c r="N34" s="2"/>
      <x:c r="O34" s="2"/>
    </x:row>
    <x:row r="35" ht="68" customHeight="1">
      <x:c r="A35" s="3" t="str">
        <x:v>P034</x:v>
      </x:c>
      <x:c r="B35" s="3" t="str">
        <x:v>OpenMV／Prophesee生态</x:v>
      </x:c>
      <x:c r="C35" s="3" t="str">
        <x:v>多光谱事件相机模组（GENX320＋PAG7936）</x:v>
      </x:c>
      <x:c r="D35" s="3" t="str">
        <x:v>商品页／售罄</x:v>
      </x:c>
      <x:c r="E35" s="3" t="str">
        <x:v>OpenMV官方商品页公开500美元价格、SKU与规格；GENX320事件流和1MP／120 FPS彩色全局快门同步集成；检索时库存0、不可下单</x:v>
      </x:c>
      <x:c r="F35" s="4"/>
      <x:c r="G35" s="4"/>
      <x:c r="H35" s="4" t="d">
        <x:v>2026-10-02T00:00:00.000Z</x:v>
      </x:c>
      <x:c r="I35" s="3" t="str">
        <x:v>页面未标发布日期；售罄不等于已核实出货、补货或终端量产。仅兼容OpenMV N6；无销量、客户、收入或世界模型训练证据</x:v>
      </x:c>
      <x:c r="J35" s="3" t="str">
        <x:v>https://openmv.io/products/multispectral-event-camera-module</x:v>
      </x:c>
      <x:c r="K35" s="2"/>
      <x:c r="L35" s="2"/>
      <x:c r="M35" s="2"/>
      <x:c r="N35" s="2"/>
      <x:c r="O35" s="2"/>
    </x:row>
    <x:row r="36" ht="68" customHeight="1">
      <x:c r="A36" s="3" t="str">
        <x:v>P035</x:v>
      </x:c>
      <x:c r="B36" s="3" t="str">
        <x:v>Mythic</x:v>
      </x:c>
      <x:c r="C36" s="3" t="str">
        <x:v>Vanguard</x:v>
      </x:c>
      <x:c r="D36" s="3" t="str">
        <x:v>方案／研发</x:v>
      </x:c>
      <x:c r="E36" s="3" t="str">
        <x:v>官方产品页明确计划2027可用；混合模拟／数字架构；Microchip确认下一代APU的memBrain／SuperFlash选型</x:v>
      </x:c>
      <x:c r="F36" s="4"/>
      <x:c r="G36" s="4" t="d">
        <x:v>2026-03-17T00:00:00.000Z</x:v>
      </x:c>
      <x:c r="H36" s="4" t="d">
        <x:v>2026-10-02T00:00:00.000Z</x:v>
      </x:c>
      <x:c r="I36" s="3" t="str">
        <x:v>未见投片、样片、良率、价格、客户或交付；120 TOPS/W与比较倍数为厂商口径</x:v>
      </x:c>
      <x:c r="J36" s="3" t="str">
        <x:v>https://www.mythic.ai/vanguard</x:v>
      </x:c>
      <x:c r="K36" s="2"/>
      <x:c r="L36" s="2"/>
      <x:c r="M36" s="2"/>
      <x:c r="N36" s="2"/>
      <x:c r="O36" s="2"/>
    </x:row>
    <x:row r="37" ht="68" customHeight="1">
      <x:c r="A37" s="3" t="str">
        <x:v>P036</x:v>
      </x:c>
      <x:c r="B37" s="3" t="str">
        <x:v>Mythic</x:v>
      </x:c>
      <x:c r="C37" s="3" t="str">
        <x:v>Project Starlight</x:v>
      </x:c>
      <x:c r="D37" s="3" t="str">
        <x:v>方案／研发</x:v>
      </x:c>
      <x:c r="E37" s="3" t="str">
        <x:v>官方标注IN DEVELOPMENT；720P低照度演示运行于M1硅片</x:v>
      </x:c>
      <x:c r="F37" s="4"/>
      <x:c r="G37" s="4"/>
      <x:c r="H37" s="4" t="d">
        <x:v>2026-10-02T00:00:00.000Z</x:v>
      </x:c>
      <x:c r="I37" s="3" t="str">
        <x:v>M1演示不证明光电阵列与APU已完成混合键合集成；未见样片、数据表、客户或交付</x:v>
      </x:c>
      <x:c r="J37" s="3" t="str">
        <x:v>https://www.mythic.ai/starlight</x:v>
      </x:c>
      <x:c r="K37" s="2"/>
      <x:c r="L37" s="2"/>
      <x:c r="M37" s="2"/>
      <x:c r="N37" s="2"/>
      <x:c r="O37" s="2"/>
    </x:row>
    <x:row r="38" ht="68" customHeight="1">
      <x:c r="A38" s="3" t="str">
        <x:v>P037</x:v>
      </x:c>
      <x:c r="B38" s="3" t="str">
        <x:v>Mythic</x:v>
      </x:c>
      <x:c r="C38" s="3" t="str">
        <x:v>Mead</x:v>
      </x:c>
      <x:c r="D38" s="3" t="str">
        <x:v>方案／研发</x:v>
      </x:c>
      <x:c r="E38" s="3" t="str">
        <x:v>官方标注IN DEVELOPMENT的3D NAND模拟CIM大模型路线</x:v>
      </x:c>
      <x:c r="F38" s="4"/>
      <x:c r="G38" s="4"/>
      <x:c r="H38" s="4" t="d">
        <x:v>2026-10-02T00:00:00.000Z</x:v>
      </x:c>
      <x:c r="I38" s="3" t="str">
        <x:v>未见3D NAND硅片、封装、样片或客户；100B+参数和低于1W均为公司目标</x:v>
      </x:c>
      <x:c r="J38" s="3" t="str">
        <x:v>https://www.mythic.ai/mead</x:v>
      </x:c>
      <x:c r="K38" s="2"/>
      <x:c r="L38" s="2"/>
      <x:c r="M38" s="2"/>
      <x:c r="N38" s="2"/>
      <x:c r="O38" s="2"/>
    </x:row>
    <x:row r="39" ht="68" customHeight="1">
      <x:c r="A39" s="3" t="str">
        <x:v>P038</x:v>
      </x:c>
      <x:c r="B39" s="3" t="str">
        <x:v>Aspirare Semi</x:v>
      </x:c>
      <x:c r="C39" s="3" t="str">
        <x:v>未命名模拟AI芯片路线</x:v>
      </x:c>
      <x:c r="D39" s="3" t="str">
        <x:v>方案／研发</x:v>
      </x:c>
      <x:c r="E39" s="3" t="str">
        <x:v>官网产品定位＋US20260057197A1模拟MAC电路公开</x:v>
      </x:c>
      <x:c r="F39" s="4" t="d">
        <x:v>2026-02-26T00:00:00.000Z</x:v>
      </x:c>
      <x:c r="G39" s="4" t="d">
        <x:v>2026-02-26T00:00:00.000Z</x:v>
      </x:c>
      <x:c r="H39" s="4" t="d">
        <x:v>2026-10-02T00:00:00.000Z</x:v>
      </x:c>
      <x:c r="I39" s="3" t="str">
        <x:v>专利不等于实现；无型号、流片、样片、制程、数据表、客户或收入</x:v>
      </x:c>
      <x:c r="J39" s="3" t="str">
        <x:v>https://patents.google.com/patent/US20260057197A1/en</x:v>
      </x:c>
      <x:c r="K39" s="2"/>
      <x:c r="L39" s="2"/>
      <x:c r="M39" s="2"/>
      <x:c r="N39" s="2"/>
      <x:c r="O39" s="2"/>
    </x:row>
    <x:row r="40" ht="68" customHeight="1">
      <x:c r="A40" s="3" t="str">
        <x:v>P039</x:v>
      </x:c>
      <x:c r="B40" s="3" t="str">
        <x:v>千觉机器人</x:v>
      </x:c>
      <x:c r="C40" s="3" t="str">
        <x:v>X-TouchMind V1／TacVerse 1k</x:v>
      </x:c>
      <x:c r="D40" s="3" t="str">
        <x:v>发布／演示</x:v>
      </x:c>
      <x:c r="E40" s="3" t="str">
        <x:v>公司一手发布＋展会现场演示报道</x:v>
      </x:c>
      <x:c r="F40" s="4" t="d">
        <x:v>2026-07-16T00:00:00.000Z</x:v>
      </x:c>
      <x:c r="G40" s="4" t="d">
        <x:v>2026-07-16T00:00:00.000Z</x:v>
      </x:c>
      <x:c r="H40" s="4" t="d">
        <x:v>2026-10-02T00:00:00.000Z</x:v>
      </x:c>
      <x:c r="I40" s="3" t="str">
        <x:v>模型和1000小时数据集均为公司口径；未见权重、代码、统一任务成功率、公开下载或工业验收。不是SNN／芯片产品。</x:v>
      </x:c>
      <x:c r="J40" s="3" t="str">
        <x:v>https://www.xenserobotics.com/article/387/detail/25</x:v>
      </x:c>
      <x:c r="K40" s="2"/>
      <x:c r="L40" s="2"/>
      <x:c r="M40" s="2"/>
      <x:c r="N40" s="2"/>
      <x:c r="O40" s="2"/>
    </x:row>
    <x:row r="41" ht="68" customHeight="1">
      <x:c r="A41" s="3" t="str">
        <x:v>P040</x:v>
      </x:c>
      <x:c r="B41" s="3" t="str">
        <x:v>ModelCat／NXP</x:v>
      </x:c>
      <x:c r="C41" s="3" t="str">
        <x:v>eIQ Model Creator</x:v>
      </x:c>
      <x:c r="D41" s="3" t="str">
        <x:v>开发平台</x:v>
      </x:c>
      <x:c r="E41" s="3" t="str">
        <x:v>ModelCat官方发布与NXP eIQ资料交叉确认当前软件、支持NXP MCU／MPU系列及订阅收费入口</x:v>
      </x:c>
      <x:c r="F41" s="4" t="d">
        <x:v>2025-09-09T00:00:00.000Z</x:v>
      </x:c>
      <x:c r="G41" s="4" t="d">
        <x:v>2025-09-08T00:00:00.000Z</x:v>
      </x:c>
      <x:c r="H41" s="4" t="d">
        <x:v>2026-10-02T00:00:00.000Z</x:v>
      </x:c>
      <x:c r="I41" s="3" t="str">
        <x:v>软件可用与订阅收费不等于已核客户数量或收入；生成模型指标为厂商宣称。ModelCat当前无自研SNN／类脑芯片证据</x:v>
      </x:c>
      <x:c r="J41" s="3" t="str">
        <x:v>https://modelcat.ai/blog/modelcat-tm-launches-eiq-r-model-creator-to-turbocharge-ai-model-development-for-nxp-devices</x:v>
      </x:c>
      <x:c r="K41" s="2"/>
      <x:c r="L41" s="2"/>
      <x:c r="M41" s="2"/>
      <x:c r="N41" s="2"/>
      <x:c r="O41" s="2"/>
    </x:row>
    <x:row r="42" ht="68" customHeight="1">
      <x:c r="A42" s="3" t="str">
        <x:v>P041</x:v>
      </x:c>
      <x:c r="B42" s="3" t="str">
        <x:v>BrainChip</x:v>
      </x:c>
      <x:c r="C42" s="3" t="str">
        <x:v>Symphony Community Akida Bundle</x:v>
      </x:c>
      <x:c r="D42" s="3" t="str">
        <x:v>开发平台</x:v>
      </x:c>
      <x:c r="E42" s="3" t="str">
        <x:v>BrainChip发布＋Apache 2.0公开仓库＋IBM Community技术博客交叉确认</x:v>
      </x:c>
      <x:c r="F42" s="4" t="d">
        <x:v>2026-08-20T00:00:00.000Z</x:v>
      </x:c>
      <x:c r="G42" s="4" t="d">
        <x:v>2026-08-20T00:00:00.000Z</x:v>
      </x:c>
      <x:c r="H42" s="4" t="d">
        <x:v>2026-10-03T00:00:00.000Z</x:v>
      </x:c>
      <x:c r="I42" s="3" t="str">
        <x:v>公开代码要求真实Akida硬件并给出8张AKD1500 M.2参考机配置；性能与精度来自公司参考机，未独立复现。社区包不是IBM产品公告，也未见企业客户、合同、SLA或收入</x:v>
      </x:c>
      <x:c r="J42" s="3" t="str">
        <x:v>https://github.com/Brainchip-Inc/symphony-akida</x:v>
      </x:c>
      <x:c r="K42" s="2"/>
      <x:c r="L42" s="2"/>
      <x:c r="M42" s="2"/>
      <x:c r="N42" s="2"/>
      <x:c r="O42" s="2"/>
    </x:row>
    <x:row r="43" ht="68" customHeight="1">
      <x:c r="A43" s="3" t="str">
        <x:v>P042</x:v>
      </x:c>
      <x:c r="B43" s="3" t="str">
        <x:v>BrainChip</x:v>
      </x:c>
      <x:c r="C43" s="3" t="str">
        <x:v>AkidaTag常开感知平台</x:v>
      </x:c>
      <x:c r="D43" s="3" t="str">
        <x:v>方案／研发</x:v>
      </x:c>
      <x:c r="E43" s="3" t="str">
        <x:v>公司产品页与预订入口；页面标注2026-09-29更新</x:v>
      </x:c>
      <x:c r="F43" s="4"/>
      <x:c r="G43" s="4"/>
      <x:c r="H43" s="4" t="d">
        <x:v>2026-10-03T00:00:00.000Z</x:v>
      </x:c>
      <x:c r="I43" s="3" t="str">
        <x:v>当前仅可预订／申请早期接入；厂商宣称支持常开多模态和本地自学习，尚未核到价格、交付时间、完整硬件配置、第三方实测、具名客户或收入</x:v>
      </x:c>
      <x:c r="J43" s="3" t="str">
        <x:v>https://brainchip.com/akida-tag/</x:v>
      </x:c>
      <x:c r="K43" s="2"/>
      <x:c r="L43" s="2"/>
      <x:c r="M43" s="2"/>
      <x:c r="N43" s="2"/>
      <x:c r="O43" s="2"/>
    </x:row>
    <x:row r="44" ht="88" customHeight="1">
      <x:c r="A44" s="3"/>
      <x:c r="B44" s="3"/>
      <x:c r="C44" s="3"/>
      <x:c r="D44" s="3"/>
      <x:c r="E44" s="3"/>
      <x:c r="F44" s="3"/>
      <x:c r="G44" s="3"/>
      <x:c r="H44" s="3"/>
      <x:c r="I44" s="3"/>
      <x:c r="J44" s="3"/>
      <x:c r="K44" s="2"/>
      <x:c r="L44" s="2"/>
      <x:c r="M44" s="2"/>
      <x:c r="N44" s="2"/>
      <x:c r="O44" s="2"/>
    </x:row>
    <x:row r="45" ht="88" customHeight="1">
      <x:c r="A45" s="3"/>
      <x:c r="B45" s="3"/>
      <x:c r="C45" s="3"/>
      <x:c r="D45" s="3"/>
      <x:c r="E45" s="3"/>
      <x:c r="F45" s="3"/>
      <x:c r="G45" s="3"/>
      <x:c r="H45" s="3"/>
      <x:c r="I45" s="3"/>
      <x:c r="J45" s="3"/>
      <x:c r="K45" s="2"/>
      <x:c r="L45" s="2"/>
      <x:c r="M45" s="2"/>
      <x:c r="N45" s="2"/>
      <x:c r="O45" s="2"/>
    </x:row>
    <x:row r="46" ht="88" customHeight="1">
      <x:c r="A46" s="3"/>
      <x:c r="B46" s="3"/>
      <x:c r="C46" s="3"/>
      <x:c r="D46" s="3"/>
      <x:c r="E46" s="3"/>
      <x:c r="F46" s="3"/>
      <x:c r="G46" s="3"/>
      <x:c r="H46" s="3"/>
      <x:c r="I46" s="3"/>
      <x:c r="J46" s="3"/>
      <x:c r="K46" s="2"/>
      <x:c r="L46" s="2"/>
      <x:c r="M46" s="2"/>
      <x:c r="N46" s="2"/>
      <x:c r="O46" s="2"/>
    </x:row>
    <x:row r="47" ht="88" customHeight="1">
      <x:c r="A47" s="3"/>
      <x:c r="B47" s="3"/>
      <x:c r="C47" s="3"/>
      <x:c r="D47" s="3"/>
      <x:c r="E47" s="3"/>
      <x:c r="F47" s="3"/>
      <x:c r="G47" s="3"/>
      <x:c r="H47" s="3"/>
      <x:c r="I47" s="3"/>
      <x:c r="J47" s="3"/>
      <x:c r="K47" s="2"/>
      <x:c r="L47" s="2"/>
      <x:c r="M47" s="2"/>
      <x:c r="N47" s="2"/>
      <x:c r="O47" s="2"/>
    </x:row>
    <x:row r="48" ht="88" customHeight="1">
      <x:c r="A48" s="3"/>
      <x:c r="B48" s="3"/>
      <x:c r="C48" s="3"/>
      <x:c r="D48" s="3"/>
      <x:c r="E48" s="3"/>
      <x:c r="F48" s="3"/>
      <x:c r="G48" s="3"/>
      <x:c r="H48" s="3"/>
      <x:c r="I48" s="3"/>
      <x:c r="J48" s="3"/>
      <x:c r="K48" s="2"/>
      <x:c r="L48" s="2"/>
      <x:c r="M48" s="2"/>
      <x:c r="N48" s="2"/>
      <x:c r="O48" s="2"/>
    </x:row>
    <x:row r="49" ht="88" customHeight="1">
      <x:c r="A49" s="3"/>
      <x:c r="B49" s="3"/>
      <x:c r="C49" s="3"/>
      <x:c r="D49" s="3"/>
      <x:c r="E49" s="3"/>
      <x:c r="F49" s="3"/>
      <x:c r="G49" s="3"/>
      <x:c r="H49" s="3"/>
      <x:c r="I49" s="3"/>
      <x:c r="J49" s="3"/>
      <x:c r="K49" s="2"/>
      <x:c r="L49" s="2"/>
      <x:c r="M49" s="2"/>
      <x:c r="N49" s="2"/>
      <x:c r="O49" s="2"/>
    </x:row>
    <x:row r="50" ht="88" customHeight="1">
      <x:c r="A50" s="3"/>
      <x:c r="B50" s="3"/>
      <x:c r="C50" s="3"/>
      <x:c r="D50" s="3"/>
      <x:c r="E50" s="3"/>
      <x:c r="F50" s="3"/>
      <x:c r="G50" s="3"/>
      <x:c r="H50" s="3"/>
      <x:c r="I50" s="3"/>
      <x:c r="J50" s="3"/>
      <x:c r="K50" s="2"/>
      <x:c r="L50" s="2"/>
      <x:c r="M50" s="2"/>
      <x:c r="N50" s="2"/>
      <x:c r="O50" s="2"/>
    </x:row>
    <x:row r="51" ht="88" customHeight="1">
      <x:c r="A51" s="3"/>
      <x:c r="B51" s="3"/>
      <x:c r="C51" s="3"/>
      <x:c r="D51" s="3"/>
      <x:c r="E51" s="3"/>
      <x:c r="F51" s="3"/>
      <x:c r="G51" s="3"/>
      <x:c r="H51" s="3"/>
      <x:c r="I51" s="3"/>
      <x:c r="J51" s="3"/>
      <x:c r="K51" s="2"/>
      <x:c r="L51" s="2"/>
      <x:c r="M51" s="2"/>
      <x:c r="N51" s="2"/>
      <x:c r="O51" s="2"/>
    </x:row>
    <x:row r="52" ht="88" customHeight="1">
      <x:c r="A52" s="3"/>
      <x:c r="B52" s="3"/>
      <x:c r="C52" s="3"/>
      <x:c r="D52" s="3"/>
      <x:c r="E52" s="3"/>
      <x:c r="F52" s="3"/>
      <x:c r="G52" s="3"/>
      <x:c r="H52" s="3"/>
      <x:c r="I52" s="3"/>
      <x:c r="J52" s="3"/>
      <x:c r="K52" s="2"/>
      <x:c r="L52" s="2"/>
      <x:c r="M52" s="2"/>
      <x:c r="N52" s="2"/>
      <x:c r="O52" s="2"/>
    </x:row>
    <x:row r="53" ht="88" customHeight="1">
      <x:c r="A53" s="3"/>
      <x:c r="B53" s="3"/>
      <x:c r="C53" s="3"/>
      <x:c r="D53" s="3"/>
      <x:c r="E53" s="3"/>
      <x:c r="F53" s="3"/>
      <x:c r="G53" s="3"/>
      <x:c r="H53" s="3"/>
      <x:c r="I53" s="3"/>
      <x:c r="J53" s="3"/>
      <x:c r="K53" s="2"/>
      <x:c r="L53" s="2"/>
      <x:c r="M53" s="2"/>
      <x:c r="N53" s="2"/>
      <x:c r="O53" s="2"/>
    </x:row>
    <x:row r="54" ht="88" customHeight="1">
      <x:c r="A54" s="3"/>
      <x:c r="B54" s="3"/>
      <x:c r="C54" s="3"/>
      <x:c r="D54" s="3"/>
      <x:c r="E54" s="3"/>
      <x:c r="F54" s="3"/>
      <x:c r="G54" s="3"/>
      <x:c r="H54" s="3"/>
      <x:c r="I54" s="3"/>
      <x:c r="J54" s="3"/>
      <x:c r="K54" s="2"/>
      <x:c r="L54" s="2"/>
      <x:c r="M54" s="2"/>
      <x:c r="N54" s="2"/>
      <x:c r="O54" s="2"/>
    </x:row>
    <x:row r="55" ht="88" customHeight="1">
      <x:c r="A55" s="3"/>
      <x:c r="B55" s="3"/>
      <x:c r="C55" s="3"/>
      <x:c r="D55" s="3"/>
      <x:c r="E55" s="3"/>
      <x:c r="F55" s="3"/>
      <x:c r="G55" s="3"/>
      <x:c r="H55" s="3"/>
      <x:c r="I55" s="3"/>
      <x:c r="J55" s="3"/>
      <x:c r="K55" s="2"/>
      <x:c r="L55" s="2"/>
      <x:c r="M55" s="2"/>
      <x:c r="N55" s="2"/>
      <x:c r="O55" s="2"/>
    </x:row>
    <x:row r="56" ht="88" customHeight="1">
      <x:c r="A56" s="3"/>
      <x:c r="B56" s="3"/>
      <x:c r="C56" s="3"/>
      <x:c r="D56" s="3"/>
      <x:c r="E56" s="3"/>
      <x:c r="F56" s="3"/>
      <x:c r="G56" s="3"/>
      <x:c r="H56" s="3"/>
      <x:c r="I56" s="3"/>
      <x:c r="J56" s="3"/>
      <x:c r="K56" s="2"/>
      <x:c r="L56" s="2"/>
      <x:c r="M56" s="2"/>
      <x:c r="N56" s="2"/>
      <x:c r="O56" s="2"/>
    </x:row>
    <x:row r="57" ht="88" customHeight="1">
      <x:c r="A57" s="3"/>
      <x:c r="B57" s="3"/>
      <x:c r="C57" s="3"/>
      <x:c r="D57" s="3"/>
      <x:c r="E57" s="3"/>
      <x:c r="F57" s="3"/>
      <x:c r="G57" s="3"/>
      <x:c r="H57" s="3"/>
      <x:c r="I57" s="3"/>
      <x:c r="J57" s="3"/>
      <x:c r="K57" s="2"/>
      <x:c r="L57" s="2"/>
      <x:c r="M57" s="2"/>
      <x:c r="N57" s="2"/>
      <x:c r="O57" s="2"/>
    </x:row>
    <x:row r="58" ht="88" customHeight="1">
      <x:c r="A58" s="3"/>
      <x:c r="B58" s="3"/>
      <x:c r="C58" s="3"/>
      <x:c r="D58" s="3"/>
      <x:c r="E58" s="3"/>
      <x:c r="F58" s="3"/>
      <x:c r="G58" s="3"/>
      <x:c r="H58" s="3"/>
      <x:c r="I58" s="3"/>
      <x:c r="J58" s="3"/>
      <x:c r="K58" s="2"/>
      <x:c r="L58" s="2"/>
      <x:c r="M58" s="2"/>
      <x:c r="N58" s="2"/>
      <x:c r="O58" s="2"/>
    </x:row>
    <x:row r="59" ht="88" customHeight="1">
      <x:c r="A59" s="3"/>
      <x:c r="B59" s="3"/>
      <x:c r="C59" s="3"/>
      <x:c r="D59" s="3"/>
      <x:c r="E59" s="3"/>
      <x:c r="F59" s="3"/>
      <x:c r="G59" s="3"/>
      <x:c r="H59" s="3"/>
      <x:c r="I59" s="3"/>
      <x:c r="J59" s="3"/>
      <x:c r="K59" s="2"/>
      <x:c r="L59" s="2"/>
      <x:c r="M59" s="2"/>
      <x:c r="N59" s="2"/>
      <x:c r="O59" s="2"/>
    </x:row>
    <x:row r="60" ht="88" customHeight="1">
      <x:c r="A60" s="3"/>
      <x:c r="B60" s="3"/>
      <x:c r="C60" s="3"/>
      <x:c r="D60" s="3"/>
      <x:c r="E60" s="3"/>
      <x:c r="F60" s="3"/>
      <x:c r="G60" s="3"/>
      <x:c r="H60" s="3"/>
      <x:c r="I60" s="3"/>
      <x:c r="J60" s="3"/>
      <x:c r="K60" s="2"/>
      <x:c r="L60" s="2"/>
      <x:c r="M60" s="2"/>
      <x:c r="N60" s="2"/>
      <x:c r="O60" s="2"/>
    </x:row>
    <x:row r="61" ht="88" customHeight="1">
      <x:c r="A61" s="3"/>
      <x:c r="B61" s="3"/>
      <x:c r="C61" s="3"/>
      <x:c r="D61" s="3"/>
      <x:c r="E61" s="3"/>
      <x:c r="F61" s="3"/>
      <x:c r="G61" s="3"/>
      <x:c r="H61" s="3"/>
      <x:c r="I61" s="3"/>
      <x:c r="J61" s="3"/>
    </x:row>
  </x:sheetData>
  <x:pageMargins left="0.7" right="0.7" top="0.75" bottom="0.75" header="0.3" footer="0.3"/>
  <x:tableParts count="1">
    <x:tablePart xmlns:r="http://schemas.openxmlformats.org/officeDocument/2006/relationships" r:id="R2f61a696b93e45f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16" hidden="0" customWidth="1"/>
    <x:col min="3" max="3" width="16" hidden="0" customWidth="1"/>
    <x:col min="4" max="4" width="38" hidden="0" customWidth="1"/>
    <x:col min="5" max="5" width="38" hidden="0" customWidth="1"/>
    <x:col min="6" max="6" width="38" hidden="0" customWidth="1"/>
    <x:col min="7" max="7" width="75" hidden="0" customWidth="1"/>
    <x:col min="8" max="8" width="65" hidden="0" customWidth="1"/>
    <x:col min="9" max="9" width="16" hidden="0" customWidth="1"/>
  </x:cols>
  <x:sheetData>
    <x:row r="1" ht="36" customHeight="1">
      <x:c r="A1" t="str">
        <x:v>编号</x:v>
      </x:c>
      <x:c r="B1" t="str">
        <x:v>事件日期</x:v>
      </x:c>
      <x:c r="C1" t="str">
        <x:v>发布日期</x:v>
      </x:c>
      <x:c r="D1" t="str">
        <x:v>主体</x:v>
      </x:c>
      <x:c r="E1" t="str">
        <x:v>事件</x:v>
      </x:c>
      <x:c r="F1" t="str">
        <x:v>证据边界</x:v>
      </x:c>
      <x:c r="G1" t="str">
        <x:v>原始URL</x:v>
      </x:c>
      <x:c r="H1" s="2"/>
      <x:c r="I1" s="2"/>
      <x:c r="J1" s="2"/>
      <x:c r="K1" s="2"/>
      <x:c r="L1" s="2"/>
      <x:c r="M1" s="2"/>
      <x:c r="N1" s="2"/>
      <x:c r="O1" s="2"/>
    </x:row>
    <x:row r="2" ht="66" customHeight="1">
      <x:c r="A2" s="151" t="str">
        <x:v>T028</x:v>
      </x:c>
      <x:c r="B2" s="152" t="d">
        <x:v>2024-10-15T00:00:00.000Z</x:v>
      </x:c>
      <x:c r="C2" s="152" t="d">
        <x:v>2024-10-31T00:00:00.000Z</x:v>
      </x:c>
      <x:c r="D2" s="151" t="str">
        <x:v>Prophesee</x:v>
      </x:c>
      <x:c r="E2" s="151" t="str">
        <x:v>法国法院启动司法重整程序</x:v>
      </x:c>
      <x:c r="F2" s="151" t="str">
        <x:v>工商／BODACC转载记录确认2024-09-17停止付款、10月15日启动重整；2026-05-05法院批准重整计划。重整不等于清算或公司退出，融资与后续经营需分开记录</x:v>
      </x:c>
      <x:c r="G2" s="151" t="str">
        <x:v>https://www.pappers.fr/entreprise/prophesee-800681892</x:v>
      </x:c>
      <x:c r="H2" s="2"/>
      <x:c r="I2" s="2"/>
      <x:c r="J2" s="2"/>
      <x:c r="K2" s="2"/>
      <x:c r="L2" s="2"/>
      <x:c r="M2" s="2"/>
      <x:c r="N2" s="2"/>
      <x:c r="O2" s="2"/>
    </x:row>
    <x:row r="3" ht="66" customHeight="1">
      <x:c r="A3" s="151" t="str">
        <x:v>T018</x:v>
      </x:c>
      <x:c r="B3" s="152" t="str">
        <x:v>2025-03（仅月份）</x:v>
      </x:c>
      <x:c r="C3" s="152" t="d">
        <x:v>2025-06-04T00:00:00.000Z</x:v>
      </x:c>
      <x:c r="D3" s="151" t="str">
        <x:v>Sandia／SpiNNcloud</x:v>
      </x:c>
      <x:c r="E3" s="151" t="str">
        <x:v>Braunfels到货并完成科研部署</x:v>
      </x:c>
      <x:c r="F3" s="151" t="str">
        <x:v>事件只确认月份；Sandia确认初始热流随机游走模拟。研究试验平台，不是终端规模量产或供应商收入</x:v>
      </x:c>
      <x:c r="G3" s="151" t="str">
        <x:v>https://www.sandia.gov/research/news/brain-based-computing-for-nuclear-deterrence-solutions/</x:v>
      </x:c>
      <x:c r="H3" s="2"/>
      <x:c r="I3" s="2"/>
      <x:c r="J3" s="2"/>
      <x:c r="K3" s="2"/>
      <x:c r="L3" s="2"/>
      <x:c r="M3" s="2"/>
      <x:c r="N3" s="2"/>
      <x:c r="O3" s="2"/>
    </x:row>
    <x:row r="4" ht="66" customHeight="1">
      <x:c r="A4" s="151" t="str">
        <x:v>T012</x:v>
      </x:c>
      <x:c r="B4" s="152" t="d">
        <x:v>2025-07-22T00:00:00.000Z</x:v>
      </x:c>
      <x:c r="C4" s="152" t="d">
        <x:v>2025-07-22T00:00:00.000Z</x:v>
      </x:c>
      <x:c r="D4" s="151" t="str">
        <x:v>Hailo</x:v>
      </x:c>
      <x:c r="E4" s="151" t="str">
        <x:v>Hailo-10H商业可用并接受全球订单</x:v>
      </x:c>
      <x:c r="F4" s="151" t="str">
        <x:v>厂商GA与订单入口；不等于终端设计定点、销量或收入</x:v>
      </x:c>
      <x:c r="G4" s="151" t="str">
        <x:v>https://hailo.ai/company-overview/newsroom/news/hailo-announces-general-availability-of-hailo-10h-edge-ai-accelerator-with-generative-ai-capabilities/</x:v>
      </x:c>
      <x:c r="H4" s="2"/>
      <x:c r="I4" s="2"/>
      <x:c r="J4" s="2"/>
      <x:c r="K4" s="2"/>
      <x:c r="L4" s="2"/>
      <x:c r="M4" s="2"/>
      <x:c r="N4" s="2"/>
      <x:c r="O4" s="2"/>
    </x:row>
    <x:row r="5" ht="66" customHeight="1">
      <x:c r="A5" s="151" t="str">
        <x:v>T029</x:v>
      </x:c>
      <x:c r="B5" s="152" t="d">
        <x:v>2025-08-28T00:00:00.000Z</x:v>
      </x:c>
      <x:c r="C5" s="152" t="d">
        <x:v>2025-08-28T00:00:00.000Z</x:v>
      </x:c>
      <x:c r="D5" s="151" t="str">
        <x:v>Eta Compute／ModelCat</x:v>
      </x:c>
      <x:c r="E5" s="151" t="str">
        <x:v>更名并转向AI-in-the-Loop模型构建软件</x:v>
      </x:c>
      <x:c r="F5" s="151" t="str">
        <x:v>当前ModelCat和NXP资料确认软件与订阅产品；历史超低功耗神经拟态芯片履历不能当作当前自研硅供应</x:v>
      </x:c>
      <x:c r="G5" s="151" t="str">
        <x:v>https://modelcat.ai/blog/why-we-changed-our-name-to-modelcat</x:v>
      </x:c>
      <x:c r="H5" s="2"/>
      <x:c r="I5" s="2"/>
      <x:c r="J5" s="2"/>
      <x:c r="K5" s="2"/>
      <x:c r="L5" s="2"/>
      <x:c r="M5" s="2"/>
      <x:c r="N5" s="2"/>
      <x:c r="O5" s="2"/>
    </x:row>
    <x:row r="6" ht="66" customHeight="1">
      <x:c r="A6" s="151" t="str">
        <x:v>T019</x:v>
      </x:c>
      <x:c r="B6" s="152" t="str">
        <x:v>2025-10（仅月份）</x:v>
      </x:c>
      <x:c r="C6" s="152" t="d">
        <x:v>2025-10-28T00:00:00.000Z</x:v>
      </x:c>
      <x:c r="D6" s="151" t="str">
        <x:v>莱比锡大学／SpiNNcloud</x:v>
      </x:c>
      <x:c r="E6" s="151" t="str">
        <x:v>类脑科研系统投入运行</x:v>
      </x:c>
      <x:c r="F6" s="151" t="str">
        <x:v>事件只确认月份；约400万欧元为科研设施资助，不是采购额或供应商收入。药物项目采用int8 DNN，不能等同SNN片上学习</x:v>
      </x:c>
      <x:c r="G6" s="151" t="str">
        <x:v>https://www.uni-leipzig.de/newsdetail/artikel/vom-gehirn-inspiriert-supercomputer-staerkt-ki-forschung-an-der-universitaet-leipzig-2025-10-28</x:v>
      </x:c>
      <x:c r="H6" s="2"/>
      <x:c r="I6" s="2"/>
      <x:c r="J6" s="2"/>
      <x:c r="K6" s="2"/>
      <x:c r="L6" s="2"/>
      <x:c r="M6" s="2"/>
      <x:c r="N6" s="2"/>
      <x:c r="O6" s="2"/>
    </x:row>
    <x:row r="7" ht="66" customHeight="1">
      <x:c r="A7" s="151" t="str">
        <x:v>T001</x:v>
      </x:c>
      <x:c r="B7" s="152" t="d">
        <x:v>2026-02-04T00:00:00.000Z</x:v>
      </x:c>
      <x:c r="C7" s="152" t="d">
        <x:v>2026-02-04T00:00:00.000Z</x:v>
      </x:c>
      <x:c r="D7" s="151" t="str">
        <x:v>Honda／Mythic</x:v>
      </x:c>
      <x:c r="E7" s="151" t="str">
        <x:v>投资与车载SoC联合研发</x:v>
      </x:c>
      <x:c r="F7" s="151" t="str">
        <x:v>未来联合研发，不是车型量产</x:v>
      </x:c>
      <x:c r="G7" s="151" t="str">
        <x:v>https://global.honda/en/topics/2026/c_2026-02-04eng.html</x:v>
      </x:c>
      <x:c r="H7" s="2"/>
      <x:c r="I7" s="2"/>
      <x:c r="J7" s="2"/>
      <x:c r="K7" s="2"/>
      <x:c r="L7" s="2"/>
      <x:c r="M7" s="2"/>
      <x:c r="N7" s="2"/>
      <x:c r="O7" s="2"/>
    </x:row>
    <x:row r="8" ht="66" customHeight="1">
      <x:c r="A8" s="151" t="str">
        <x:v>T026</x:v>
      </x:c>
      <x:c r="B8" s="152" t="d">
        <x:v>2026-02-25T00:00:00.000Z</x:v>
      </x:c>
      <x:c r="C8" s="152" t="d">
        <x:v>2026-03-02T00:00:00.000Z</x:v>
      </x:c>
      <x:c r="D8" s="151" t="str">
        <x:v>Forschungszentrum Jülich／SpiNNcloud</x:v>
      </x:c>
      <x:c r="E8" s="151" t="str">
        <x:v>336万欧元SpiNNaker2公共采购合同签订</x:v>
      </x:c>
      <x:c r="F8" s="151" t="str">
        <x:v>公共采购结果确认合同授予值、数量1套、单一投标且无分包；合同不等于已付款、交付验收或当期收入确认</x:v>
      </x:c>
      <x:c r="G8" s="151" t="str">
        <x:v>https://ted.europa.eu/en/notice/-/detail/141500-2026</x:v>
      </x:c>
      <x:c r="H8" s="2"/>
      <x:c r="I8" s="2"/>
      <x:c r="J8" s="2"/>
      <x:c r="K8" s="2"/>
      <x:c r="L8" s="2"/>
      <x:c r="M8" s="2"/>
      <x:c r="N8" s="2"/>
      <x:c r="O8" s="2"/>
    </x:row>
    <x:row r="9" ht="66" customHeight="1">
      <x:c r="A9" s="151" t="str">
        <x:v>T022</x:v>
      </x:c>
      <x:c r="B9" s="152" t="d">
        <x:v>2026-02-26T00:00:00.000Z</x:v>
      </x:c>
      <x:c r="C9" s="152" t="d">
        <x:v>2026-02-26T00:00:00.000Z</x:v>
      </x:c>
      <x:c r="D9" s="151" t="str">
        <x:v>Aspirare Semi</x:v>
      </x:c>
      <x:c r="E9" s="151" t="str">
        <x:v>模拟计算电路专利申请公开</x:v>
      </x:c>
      <x:c r="F9" s="151" t="str">
        <x:v>确认主体与知识产权路线，不证明ASIC实现、量产或收入</x:v>
      </x:c>
      <x:c r="G9" s="151" t="str">
        <x:v>https://patents.google.com/patent/US20260057197A1/en</x:v>
      </x:c>
      <x:c r="H9" s="2"/>
      <x:c r="I9" s="2"/>
      <x:c r="J9" s="2"/>
      <x:c r="K9" s="2"/>
      <x:c r="L9" s="2"/>
      <x:c r="M9" s="2"/>
      <x:c r="N9" s="2"/>
      <x:c r="O9" s="2"/>
    </x:row>
    <x:row r="10" ht="66" customHeight="1">
      <x:c r="A10" s="151" t="str">
        <x:v>T002</x:v>
      </x:c>
      <x:c r="B10" s="152" t="d">
        <x:v>2026-03-12T00:00:00.000Z</x:v>
      </x:c>
      <x:c r="C10" s="152" t="d">
        <x:v>2026-03-26T00:00:00.000Z</x:v>
      </x:c>
      <x:c r="D10" s="151" t="str">
        <x:v>Innatera／Joya</x:v>
      </x:c>
      <x:c r="E10" s="151" t="str">
        <x:v>EdgeCore模块发布</x:v>
      </x:c>
      <x:c r="F10" s="151" t="str">
        <x:v>可集成客户模块，销量未知</x:v>
      </x:c>
      <x:c r="G10" s="151" t="str">
        <x:v>https://www.innatera.com/newsroom/joya-design-takes-neuromorphic-chip-from-design-to-device-with-first-innatera-powered-consumer-audio-product-at-awe-china/</x:v>
      </x:c>
      <x:c r="H10" s="2"/>
      <x:c r="I10" s="2"/>
      <x:c r="J10" s="2"/>
      <x:c r="K10" s="2"/>
      <x:c r="L10" s="2"/>
      <x:c r="M10" s="2"/>
      <x:c r="N10" s="2"/>
      <x:c r="O10" s="2"/>
    </x:row>
    <x:row r="11" ht="66" customHeight="1">
      <x:c r="A11" s="151" t="str">
        <x:v>T021</x:v>
      </x:c>
      <x:c r="B11" s="152" t="d">
        <x:v>2026-03-17T00:00:00.000Z</x:v>
      </x:c>
      <x:c r="C11" s="152" t="d">
        <x:v>2026-03-17T00:00:00.000Z</x:v>
      </x:c>
      <x:c r="D11" s="151" t="str">
        <x:v>Mythic／Microchip SST</x:v>
      </x:c>
      <x:c r="E11" s="151" t="str">
        <x:v>下一代APU选择memBrain／SuperFlash</x:v>
      </x:c>
      <x:c r="F11" s="151" t="str">
        <x:v>供应链／IP选型，不证明Vanguard流片、样片或交付；能效数字为厂商宣称</x:v>
      </x:c>
      <x:c r="G11" s="151" t="str">
        <x:v>https://www.microchip.com/en-us/about/news-releases/products/mythic-selects-membrain-technology-from-sst-for-its-next-gen-ultra-low-power-apus</x:v>
      </x:c>
      <x:c r="H11" s="2"/>
      <x:c r="I11" s="2"/>
      <x:c r="J11" s="2"/>
      <x:c r="K11" s="2"/>
      <x:c r="L11" s="2"/>
      <x:c r="M11" s="2"/>
      <x:c r="N11" s="2"/>
      <x:c r="O11" s="2"/>
    </x:row>
    <x:row r="12" ht="66" customHeight="1">
      <x:c r="A12" s="151" t="str">
        <x:v>T025</x:v>
      </x:c>
      <x:c r="B12" s="152" t="d">
        <x:v>2026-05-13T00:00:00.000Z</x:v>
      </x:c>
      <x:c r="C12" s="152"/>
      <x:c r="D12" s="151" t="str">
        <x:v>Intel／Lava</x:v>
      </x:c>
      <x:c r="E12" s="151" t="str">
        <x:v>官方仓库归档、只读；下一代Loihi与新SDK在开发</x:v>
      </x:c>
      <x:c r="F12" s="151" t="str">
        <x:v>归档日期可核；README发布日期未知。新SDK为路线，未证明交付、量产或退出研究。</x:v>
      </x:c>
      <x:c r="G12" s="151" t="str">
        <x:v>https://github.com/lava-nc/lava</x:v>
      </x:c>
      <x:c r="H12" s="2"/>
      <x:c r="I12" s="2"/>
      <x:c r="J12" s="2"/>
      <x:c r="K12" s="2"/>
      <x:c r="L12" s="2"/>
      <x:c r="M12" s="2"/>
      <x:c r="N12" s="2"/>
      <x:c r="O12" s="2"/>
    </x:row>
    <x:row r="13" ht="66" customHeight="1">
      <x:c r="A13" s="151" t="str">
        <x:v>T003</x:v>
      </x:c>
      <x:c r="B13" s="152" t="d">
        <x:v>2026-05-19T00:00:00.000Z</x:v>
      </x:c>
      <x:c r="C13" s="152" t="d">
        <x:v>2026-05-19T00:00:00.000Z</x:v>
      </x:c>
      <x:c r="D13" s="151" t="str">
        <x:v>Mythic</x:v>
      </x:c>
      <x:c r="E13" s="151" t="str">
        <x:v>收购Videantis</x:v>
      </x:c>
      <x:c r="F13" s="151" t="str">
        <x:v>被收购数字IP装机不计作模拟APU销量</x:v>
      </x:c>
      <x:c r="G13" s="151" t="str">
        <x:v>https://www.mythic.ai/newsroom/Blog%20Post%20Title%20One-3zaa9-zlxng-67tfc-lbgbx</x:v>
      </x:c>
      <x:c r="H13" s="2"/>
      <x:c r="I13" s="2"/>
      <x:c r="J13" s="2"/>
      <x:c r="K13" s="2"/>
      <x:c r="L13" s="2"/>
      <x:c r="M13" s="2"/>
      <x:c r="N13" s="2"/>
      <x:c r="O13" s="2"/>
    </x:row>
    <x:row r="14" ht="66" customHeight="1">
      <x:c r="A14" s="151" t="str">
        <x:v>T013</x:v>
      </x:c>
      <x:c r="B14" s="152" t="d">
        <x:v>2026-05-19T00:00:00.000Z</x:v>
      </x:c>
      <x:c r="C14" s="152" t="d">
        <x:v>2026-05-19T00:00:00.000Z</x:v>
      </x:c>
      <x:c r="D14" s="151" t="str">
        <x:v>BrainChip／ASICLAND</x:v>
      </x:c>
      <x:c r="E14" s="151" t="str">
        <x:v>签署Akida IP分销许可</x:v>
      </x:c>
      <x:c r="F14" s="151" t="str">
        <x:v>可做评估许可和MPW；客户生产许可需BrainChip另批并支付生产许可费，未披露金额或已确认收入</x:v>
      </x:c>
      <x:c r="G14" s="151" t="str">
        <x:v>https://brainchip.com/press/brainchip-strikes-ip-licensing-deal-with-asicland/</x:v>
      </x:c>
      <x:c r="H14" s="2"/>
      <x:c r="I14" s="2"/>
      <x:c r="J14" s="2"/>
      <x:c r="K14" s="2"/>
      <x:c r="L14" s="2"/>
      <x:c r="M14" s="2"/>
      <x:c r="N14" s="2"/>
      <x:c r="O14" s="2"/>
    </x:row>
    <x:row r="15" ht="66" customHeight="1">
      <x:c r="A15" s="151" t="str">
        <x:v>T004</x:v>
      </x:c>
      <x:c r="B15" s="152" t="d">
        <x:v>2026-06-15T00:00:00.000Z</x:v>
      </x:c>
      <x:c r="C15" s="152" t="d">
        <x:v>2026-06-15T00:00:00.000Z</x:v>
      </x:c>
      <x:c r="D15" s="151" t="str">
        <x:v>Prophesee</x:v>
      </x:c>
      <x:c r="E15" s="151" t="str">
        <x:v>Mantara／Hearth发布并宣布2000万欧元融资</x:v>
      </x:c>
      <x:c r="F15" s="151" t="str">
        <x:v>司法重整计划获批后，公司转向反无人机全栈系统并融资；现场验证、商业化与迁移兼容为厂商口径。融资不等于收入，未见具名采购、合同、验收或部署数量</x:v>
      </x:c>
      <x:c r="G15" s="151" t="str">
        <x:v>https://www.prophesee.ai/2026/06/15/prophesee-launches-mantara-event-based-drone-detection/</x:v>
      </x:c>
      <x:c r="H15" s="2"/>
      <x:c r="I15" s="2"/>
      <x:c r="J15" s="2"/>
      <x:c r="K15" s="2"/>
      <x:c r="L15" s="2"/>
      <x:c r="M15" s="2"/>
      <x:c r="N15" s="2"/>
      <x:c r="O15" s="2"/>
    </x:row>
    <x:row r="16" ht="66" customHeight="1">
      <x:c r="A16" s="151" t="str">
        <x:v>T005</x:v>
      </x:c>
      <x:c r="B16" s="152" t="d">
        <x:v>2026-06-29T00:00:00.000Z</x:v>
      </x:c>
      <x:c r="C16" s="152" t="d">
        <x:v>2026-06-29T00:00:00.000Z</x:v>
      </x:c>
      <x:c r="D16" s="151" t="str">
        <x:v>Innatera</x:v>
      </x:c>
      <x:c r="E16" s="151" t="str">
        <x:v>Synfire 0.0.2 Beta发布</x:v>
      </x:c>
      <x:c r="F16" s="151" t="str">
        <x:v>可安装，生产部署未知</x:v>
      </x:c>
      <x:c r="G16" s="151" t="str">
        <x:v>https://pypi.org/project/synfire/</x:v>
      </x:c>
      <x:c r="H16" s="64"/>
      <x:c r="I16" s="65"/>
      <x:c r="J16" s="2"/>
      <x:c r="K16" s="2"/>
      <x:c r="L16" s="2"/>
      <x:c r="M16" s="2"/>
      <x:c r="N16" s="2"/>
      <x:c r="O16" s="2"/>
    </x:row>
    <x:row r="17" ht="66" customHeight="1">
      <x:c r="A17" s="151" t="str">
        <x:v>T023</x:v>
      </x:c>
      <x:c r="B17" s="152" t="d">
        <x:v>2026-07-16T00:00:00.000Z</x:v>
      </x:c>
      <x:c r="C17" s="152" t="d">
        <x:v>2026-07-16T00:00:00.000Z</x:v>
      </x:c>
      <x:c r="D17" s="151" t="str">
        <x:v>千觉机器人</x:v>
      </x:c>
      <x:c r="E17" s="151" t="str">
        <x:v>发布X-TouchMind V1与TacVerse 1k</x:v>
      </x:c>
      <x:c r="F17" s="151" t="str">
        <x:v>公司发布与展会演示；数据下载、权重、客户验收和收入未核</x:v>
      </x:c>
      <x:c r="G17" s="151" t="str">
        <x:v>https://www.xenserobotics.com/article/387/detail/25</x:v>
      </x:c>
      <x:c r="H17" s="67"/>
      <x:c r="I17" s="68"/>
      <x:c r="J17" s="2"/>
      <x:c r="K17" s="2"/>
      <x:c r="L17" s="2"/>
      <x:c r="M17" s="2"/>
      <x:c r="N17" s="2"/>
      <x:c r="O17" s="2"/>
    </x:row>
    <x:row r="18" ht="66" customHeight="1">
      <x:c r="A18" s="151" t="str">
        <x:v>T010</x:v>
      </x:c>
      <x:c r="B18" s="152" t="d">
        <x:v>2026-07-17T00:00:00.000Z</x:v>
      </x:c>
      <x:c r="C18" s="152" t="d">
        <x:v>2026-07-17T00:00:00.000Z</x:v>
      </x:c>
      <x:c r="D18" s="151" t="str">
        <x:v>他山科技</x:v>
      </x:c>
      <x:c r="E18" s="151" t="str">
        <x:v>E10A动态触觉芯片公开发布／演示</x:v>
      </x:c>
      <x:c r="F18" s="151" t="str">
        <x:v>ASC转换为厂商披露，E10A量产未知</x:v>
      </x:c>
      <x:c r="G18" s="151" t="str">
        <x:v>https://www3.xinhuanet.com/tech/20260717/d66a7bb7dcf8414baeab73d6499b785e/c.html</x:v>
      </x:c>
      <x:c r="H18" s="67"/>
      <x:c r="I18" s="68"/>
      <x:c r="J18" s="2"/>
      <x:c r="K18" s="2"/>
      <x:c r="L18" s="2"/>
      <x:c r="M18" s="2"/>
      <x:c r="N18" s="2"/>
      <x:c r="O18" s="2"/>
    </x:row>
    <x:row r="19" ht="66" customHeight="1">
      <x:c r="A19" s="151" t="str">
        <x:v>T015</x:v>
      </x:c>
      <x:c r="B19" s="152" t="d">
        <x:v>2026-07-21T00:00:00.000Z</x:v>
      </x:c>
      <x:c r="C19" s="152" t="d">
        <x:v>2026-07-28T00:00:00.000Z</x:v>
      </x:c>
      <x:c r="D19" s="151" t="str">
        <x:v>World Labs／SceniX</x:v>
      </x:c>
      <x:c r="E19" s="151" t="str">
        <x:v>World Labs收购机器人仿真公司SceniX</x:v>
      </x:c>
      <x:c r="F19" s="151" t="str">
        <x:v>World Labs称SceniX R2S2R把真实任务转为可控仿真用于策略训练和评估；结果为公司展示，未独立复现，未披露交易金额或客户收入</x:v>
      </x:c>
      <x:c r="G19" s="151" t="str">
        <x:v>https://www.worldlabs.ai/blog/real-to-sim-to-real</x:v>
      </x:c>
      <x:c r="H19" s="67"/>
      <x:c r="I19" s="68"/>
      <x:c r="J19" s="2"/>
      <x:c r="K19" s="2"/>
      <x:c r="L19" s="2"/>
      <x:c r="M19" s="2"/>
      <x:c r="N19" s="2"/>
      <x:c r="O19" s="2"/>
    </x:row>
    <x:row r="20" ht="66" customHeight="1">
      <x:c r="A20" s="151" t="str">
        <x:v>T006</x:v>
      </x:c>
      <x:c r="B20" s="152" t="d">
        <x:v>2026-07-28T00:00:00.000Z</x:v>
      </x:c>
      <x:c r="C20" s="152" t="d">
        <x:v>2026-07-28T00:00:00.000Z</x:v>
      </x:c>
      <x:c r="D20" s="151" t="str">
        <x:v>BrainChip</x:v>
      </x:c>
      <x:c r="E20" s="151" t="str">
        <x:v>AKD1500 M.2模块可购</x:v>
      </x:c>
      <x:c r="F20" s="151" t="str">
        <x:v>开发模块，不等于终端销量</x:v>
      </x:c>
      <x:c r="G20" s="151" t="str">
        <x:v>https://investor.brainchip.com/press/brainchip-akd1500-now-available-in-compact-m-2-form-factor-enabling-fanless-edge-ai-in-industrial-and-commercial-designs/</x:v>
      </x:c>
      <x:c r="H20" s="67"/>
      <x:c r="I20" s="68"/>
      <x:c r="J20" s="2"/>
      <x:c r="K20" s="2"/>
      <x:c r="L20" s="2"/>
      <x:c r="M20" s="2"/>
      <x:c r="N20" s="2"/>
      <x:c r="O20" s="2"/>
    </x:row>
    <x:row r="21" ht="66" customHeight="1">
      <x:c r="A21" s="151" t="str">
        <x:v>T014</x:v>
      </x:c>
      <x:c r="B21" s="152" t="d">
        <x:v>2026-08-13T00:00:00.000Z</x:v>
      </x:c>
      <x:c r="C21" s="152" t="d">
        <x:v>2026-08-13T00:00:00.000Z</x:v>
      </x:c>
      <x:c r="D21" s="151" t="str">
        <x:v>BrainChip／Orama.AOI</x:v>
      </x:c>
      <x:c r="E21" s="151" t="str">
        <x:v>发布工业检测参考部署合作</x:v>
      </x:c>
      <x:c r="F21" s="151" t="str">
        <x:v>伙伴称已优化模型并形成参考部署／生产就绪方案；未披露终端工厂、采购额、出货量或收入</x:v>
      </x:c>
      <x:c r="G21" s="151" t="str">
        <x:v>https://brainchip.com/press/brainchip-partners-with-orama-aoi-for-ai-fueled-defect-detection/</x:v>
      </x:c>
      <x:c r="H21" s="67"/>
      <x:c r="I21" s="68"/>
      <x:c r="J21" s="2"/>
      <x:c r="K21" s="2"/>
      <x:c r="L21" s="2"/>
      <x:c r="M21" s="2"/>
      <x:c r="N21" s="2"/>
      <x:c r="O21" s="2"/>
    </x:row>
    <x:row r="22" ht="66" customHeight="1">
      <x:c r="A22" s="151" t="str">
        <x:v>T030</x:v>
      </x:c>
      <x:c r="B22" s="152" t="d">
        <x:v>2026-08-20T00:00:00.000Z</x:v>
      </x:c>
      <x:c r="C22" s="152" t="d">
        <x:v>2026-08-20T00:00:00.000Z</x:v>
      </x:c>
      <x:c r="D22" s="151" t="str">
        <x:v>BrainChip／Symphony Community Akida Bundle</x:v>
      </x:c>
      <x:c r="E22" s="151" t="str">
        <x:v>发布面向多卡Akida的开源异构调度软件包</x:v>
      </x:c>
      <x:c r="F22" s="151" t="str">
        <x:v>官方发布与公开仓库确认Apache-2.0代码、8张AKD1500 M.2加3张AKD1000 PCIe参考配置及三类演示；当前仓库明确要求真实Akida硬件，结果为厂商参考复现而非独立基准。IBM Community文章仅为社区作者交叉说明，不等于IBM产品采用；未披露企业客户部署、付费合同、SLA或收入</x:v>
      </x:c>
      <x:c r="G22" s="151" t="str">
        <x:v>https://brainchip.com/press/brainchip-launches-symphony-community-edition-akida-bundle/</x:v>
      </x:c>
      <x:c r="H22" s="67"/>
      <x:c r="I22" s="68"/>
      <x:c r="J22" s="2"/>
      <x:c r="K22" s="2"/>
      <x:c r="L22" s="2"/>
      <x:c r="M22" s="2"/>
      <x:c r="N22" s="2"/>
      <x:c r="O22" s="2"/>
    </x:row>
    <x:row r="23" ht="66" customHeight="1">
      <x:c r="A23" s="151" t="str">
        <x:v>T024</x:v>
      </x:c>
      <x:c r="B23" s="152"/>
      <x:c r="C23" s="152" t="d">
        <x:v>2026-08-24T00:00:00.000Z</x:v>
      </x:c>
      <x:c r="D23" s="151" t="str">
        <x:v>他山科技／E10A</x:v>
      </x:c>
      <x:c r="E23" s="151" t="str">
        <x:v>公司人员称E10A已完成流片并联合开发感控灵巧手</x:v>
      </x:c>
      <x:c r="F23" s="151" t="str">
        <x:v>媒体采访转述；流片不等于回片、工程样片、客户验证、量产或收入</x:v>
      </x:c>
      <x:c r="G23" s="151" t="str">
        <x:v>https://caifuhao.eastmoney.com/news/20260824025726767924920</x:v>
      </x:c>
      <x:c r="H23" s="67"/>
      <x:c r="I23" s="68"/>
      <x:c r="J23" s="2"/>
      <x:c r="K23" s="2"/>
      <x:c r="L23" s="2"/>
      <x:c r="M23" s="2"/>
      <x:c r="N23" s="2"/>
      <x:c r="O23" s="2"/>
    </x:row>
    <x:row r="24" ht="66" customHeight="1">
      <x:c r="A24" s="151" t="str">
        <x:v>T011</x:v>
      </x:c>
      <x:c r="B24" s="152"/>
      <x:c r="C24" s="152" t="d">
        <x:v>2026-08-26T00:00:00.000Z</x:v>
      </x:c>
      <x:c r="D24" s="151" t="str">
        <x:v>奥比中光／他山</x:v>
      </x:c>
      <x:c r="E24" s="151" t="str">
        <x:v>TS-ECHO视触无本体数采合作</x:v>
      </x:c>
      <x:c r="F24" s="151" t="str">
        <x:v>合作方确认签约，具体签约日未知；非验收／付费交付</x:v>
      </x:c>
      <x:c r="G24" s="151" t="str">
        <x:v>https://www.orbbec.com/news/orbbec-and-tashan-technology-form-strategic-partnership-to-advance-vision-tactile-data-collection-solutions/</x:v>
      </x:c>
      <x:c r="H24" s="67"/>
      <x:c r="I24" s="68"/>
      <x:c r="J24" s="2"/>
      <x:c r="K24" s="2"/>
      <x:c r="L24" s="2"/>
      <x:c r="M24" s="2"/>
      <x:c r="N24" s="2"/>
      <x:c r="O24" s="2"/>
    </x:row>
    <x:row r="25" ht="66" customHeight="1">
      <x:c r="A25" s="151" t="str">
        <x:v>T027</x:v>
      </x:c>
      <x:c r="B25" s="152" t="str">
        <x:v>2026-08（仅月份）</x:v>
      </x:c>
      <x:c r="C25" s="152" t="d">
        <x:v>2026-08-24T00:00:00.000Z</x:v>
      </x:c>
      <x:c r="D25" s="151" t="str">
        <x:v>维泛智能</x:v>
      </x:c>
      <x:c r="E25" s="151" t="str">
        <x:v>披露过亿元种子+轮融资</x:v>
      </x:c>
      <x:c r="F25" s="151" t="str">
        <x:v>据公司向钛媒体披露；与2026年5月数亿元种子轮分开。融资拟用于量产芯片、BrainOS与OmniRT产品化，不等于收入、量产或客户付款</x:v>
      </x:c>
      <x:c r="G25" s="151" t="str">
        <x:v>https://www.tmtpost.com/8113528.html</x:v>
      </x:c>
      <x:c r="H25" s="67"/>
      <x:c r="I25" s="68"/>
      <x:c r="J25" s="2"/>
      <x:c r="K25" s="2"/>
      <x:c r="L25" s="2"/>
      <x:c r="M25" s="2"/>
      <x:c r="N25" s="2"/>
      <x:c r="O25" s="2"/>
    </x:row>
    <x:row r="26" ht="66" customHeight="1">
      <x:c r="A26" s="151" t="str">
        <x:v>T007</x:v>
      </x:c>
      <x:c r="B26" s="152" t="d">
        <x:v>2026-08-31T00:00:00.000Z</x:v>
      </x:c>
      <x:c r="C26" s="152" t="d">
        <x:v>2026-08-31T00:00:00.000Z</x:v>
      </x:c>
      <x:c r="D26" s="151" t="str">
        <x:v>MemryX／Express LUCK</x:v>
      </x:c>
      <x:c r="E26" s="151" t="str">
        <x:v>生产线部署</x:v>
      </x:c>
      <x:c r="F26" s="151" t="str">
        <x:v>具名部署联合稿，采购金额未知</x:v>
      </x:c>
      <x:c r="G26" s="151" t="str">
        <x:v>https://memryx.ai/news/express-luck-selects-memryx-for-ai-enabled-smart-manufacturing-operations/</x:v>
      </x:c>
      <x:c r="H26" s="67"/>
      <x:c r="I26" s="68"/>
      <x:c r="J26" s="2"/>
      <x:c r="K26" s="2"/>
      <x:c r="L26" s="2"/>
      <x:c r="M26" s="2"/>
      <x:c r="N26" s="2"/>
      <x:c r="O26" s="2"/>
    </x:row>
    <x:row r="27" ht="66" customHeight="1">
      <x:c r="A27" s="151" t="str">
        <x:v>T017</x:v>
      </x:c>
      <x:c r="B27" s="152" t="d">
        <x:v>2026-09-14T00:00:00.000Z</x:v>
      </x:c>
      <x:c r="C27" s="152" t="d">
        <x:v>2026-09-14T00:00:00.000Z</x:v>
      </x:c>
      <x:c r="D27" s="151" t="str">
        <x:v>具脑磐石 EBKernel</x:v>
      </x:c>
      <x:c r="E27" s="151" t="str">
        <x:v>Cog-WM 1.0发布并公开四种交付形态</x:v>
      </x:c>
      <x:c r="F27" s="151" t="str">
        <x:v>官网明确许可、模组、行业方案和RaaS；客户现场为公司／媒体宣称，未披露具名付费客户、合同、验收或收入，节能幅度未实测</x:v>
      </x:c>
      <x:c r="G27" s="151" t="str">
        <x:v>https://www.ebkernel.com/</x:v>
      </x:c>
      <x:c r="H27" s="67"/>
      <x:c r="I27" s="68"/>
      <x:c r="J27" s="2"/>
      <x:c r="K27" s="2"/>
      <x:c r="L27" s="2"/>
      <x:c r="M27" s="2"/>
      <x:c r="N27" s="2"/>
      <x:c r="O27" s="2"/>
    </x:row>
    <x:row r="28" ht="66" customHeight="1">
      <x:c r="A28" s="151" t="str">
        <x:v>T008</x:v>
      </x:c>
      <x:c r="B28" s="152" t="d">
        <x:v>2026-09-15T00:00:00.000Z</x:v>
      </x:c>
      <x:c r="C28" s="152" t="d">
        <x:v>2026-09-15T00:00:00.000Z</x:v>
      </x:c>
      <x:c r="D28" s="151" t="str">
        <x:v>AnalogAI</x:v>
      </x:c>
      <x:c r="E28" s="151" t="str">
        <x:v>选用SST memBrain SAGE IP</x:v>
      </x:c>
      <x:c r="F28" s="151" t="str">
        <x:v>IP选型，无流片证据</x:v>
      </x:c>
      <x:c r="G28" s="151" t="str">
        <x:v>https://ir.microchip.com/news-events/press-releases/detail/1414/analogai-selects-membrain-sage-intellectual-property-from-silicon-storage-technology-for-its-first-real-world-edge-ai-processors</x:v>
      </x:c>
      <x:c r="H28" s="67"/>
      <x:c r="I28" s="68"/>
      <x:c r="J28" s="2"/>
      <x:c r="K28" s="2"/>
      <x:c r="L28" s="2"/>
      <x:c r="M28" s="2"/>
      <x:c r="N28" s="2"/>
      <x:c r="O28" s="2"/>
    </x:row>
    <x:row r="29" ht="66" customHeight="1">
      <x:c r="A29" s="78" t="str">
        <x:v>T020</x:v>
      </x:c>
      <x:c r="B29" s="83" t="d">
        <x:v>2026-09-23T00:00:00.000Z</x:v>
      </x:c>
      <x:c r="C29" s="83"/>
      <x:c r="D29" s="80" t="str">
        <x:v>SpiNNcloud／py-spinnaker2</x:v>
      </x:c>
      <x:c r="E29" s="80" t="str">
        <x:v>v0.8.2标签记录首次公开Docker镜像</x:v>
      </x:c>
      <x:c r="F29" s="80" t="str">
        <x:v>日期是标签关联提交日期；发布说明、当前文档和Docker Hub确认公开镜像存在，未核首个实际推送日，未复现规模化训练</x:v>
      </x:c>
      <x:c r="G29" s="80" t="str">
        <x:v>https://gitlab.com/spinnaker2/py-spinnaker2/-/tags</x:v>
      </x:c>
      <x:c r="H29" s="67"/>
      <x:c r="I29" s="68"/>
      <x:c r="J29" s="2"/>
      <x:c r="K29" s="2"/>
      <x:c r="L29" s="2"/>
      <x:c r="M29" s="2"/>
      <x:c r="N29" s="2"/>
      <x:c r="O29" s="2"/>
    </x:row>
    <x:row r="30" ht="66" customHeight="1">
      <x:c r="A30" s="102" t="str">
        <x:v>T016</x:v>
      </x:c>
      <x:c r="B30" s="123" t="d">
        <x:v>2026-09-26T00:00:00.000Z</x:v>
      </x:c>
      <x:c r="C30" s="123" t="d">
        <x:v>2026-09-28T00:00:00.000Z</x:v>
      </x:c>
      <x:c r="D30" s="104" t="str">
        <x:v>AMD／World Labs</x:v>
      </x:c>
      <x:c r="E30" s="80" t="str">
        <x:v>签署约82亿美元全股票收购协议</x:v>
      </x:c>
      <x:c r="F30" s="80" t="str">
        <x:v>AMD拟收购World Labs全部股权，预计2026年底完成；交易仍待监管批准和惯例条件，不是已完成收购，也不证明World Labs采用类脑芯片</x:v>
      </x:c>
      <x:c r="G30" s="80" t="str">
        <x:v>https://www.sec.gov/Archives/edgar/data/2488/000000248826000182/amd-20260926.htm</x:v>
      </x:c>
      <x:c r="H30" s="67"/>
      <x:c r="I30" s="68"/>
      <x:c r="J30" s="2"/>
      <x:c r="K30" s="2"/>
      <x:c r="L30" s="2"/>
      <x:c r="M30" s="2"/>
      <x:c r="N30" s="2"/>
      <x:c r="O30" s="2"/>
    </x:row>
    <x:row r="31" ht="66" customHeight="1">
      <x:c r="A31" s="132" t="str">
        <x:v>T009</x:v>
      </x:c>
      <x:c r="B31" s="124" t="d">
        <x:v>2026-09-28T00:00:00.000Z</x:v>
      </x:c>
      <x:c r="C31" s="124" t="d">
        <x:v>2026-09-28T00:00:00.000Z</x:v>
      </x:c>
      <x:c r="D31" s="133" t="str">
        <x:v>POLYN</x:v>
      </x:c>
      <x:c r="E31" s="80" t="str">
        <x:v>TMS工程节点供客户评估</x:v>
      </x:c>
      <x:c r="F31" s="80" t="str">
        <x:v>未具名评估方，非量产</x:v>
      </x:c>
      <x:c r="G31" s="80" t="str">
        <x:v>https://polyn.ai/polyn-delivers-first-vibrosense-tms-engineering-sensor-nodes-for-customer-evaluation/</x:v>
      </x:c>
      <x:c r="H31" s="67"/>
      <x:c r="I31" s="68"/>
      <x:c r="J31" s="2"/>
      <x:c r="K31" s="2"/>
      <x:c r="L31" s="2"/>
      <x:c r="M31" s="2"/>
      <x:c r="N31" s="2"/>
      <x:c r="O31" s="2"/>
    </x:row>
    <x:row r="32" ht="26" customHeight="1">
      <x:c r="A32" s="102"/>
      <x:c r="B32" s="103"/>
      <x:c r="C32" s="103"/>
      <x:c r="D32" s="104"/>
      <x:c r="E32" s="80"/>
      <x:c r="F32" s="80"/>
      <x:c r="G32" s="80"/>
      <x:c r="H32" s="67"/>
      <x:c r="I32" s="68"/>
      <x:c r="J32" s="2"/>
      <x:c r="K32" s="2"/>
      <x:c r="L32" s="2"/>
      <x:c r="M32" s="2"/>
      <x:c r="N32" s="2"/>
      <x:c r="O32" s="2"/>
    </x:row>
    <x:row r="33" ht="28" customHeight="1">
      <x:c r="A33" s="193" t="str">
        <x:v>半年收入</x:v>
      </x:c>
      <x:c r="B33" s="194"/>
      <x:c r="C33" s="194"/>
      <x:c r="D33" s="195"/>
      <x:c r="E33" s="80"/>
      <x:c r="F33" s="80"/>
      <x:c r="G33" s="80"/>
      <x:c r="H33" s="67"/>
      <x:c r="I33" s="68"/>
      <x:c r="J33" s="2"/>
      <x:c r="K33" s="2"/>
      <x:c r="L33" s="2"/>
      <x:c r="M33" s="2"/>
      <x:c r="N33" s="2"/>
      <x:c r="O33" s="2"/>
    </x:row>
    <x:row r="34" ht="28" customHeight="1">
      <x:c r="A34" s="199" t="str">
        <x:v>构成</x:v>
      </x:c>
      <x:c r="B34" s="200" t="str">
        <x:v>2025 H1</x:v>
      </x:c>
      <x:c r="C34" s="200" t="str">
        <x:v>2026 H1</x:v>
      </x:c>
      <x:c r="D34" s="201" t="str">
        <x:v>来源</x:v>
      </x:c>
      <x:c r="E34" s="80"/>
      <x:c r="F34" s="80"/>
      <x:c r="G34" s="80"/>
      <x:c r="H34" s="67"/>
      <x:c r="I34" s="68"/>
      <x:c r="J34" s="2"/>
      <x:c r="K34" s="2"/>
      <x:c r="L34" s="2"/>
      <x:c r="M34" s="2"/>
      <x:c r="N34" s="2"/>
      <x:c r="O34" s="2"/>
    </x:row>
    <x:row r="35" ht="26" customHeight="1">
      <x:c r="A35" s="76" t="str">
        <x:v>许可</x:v>
      </x:c>
      <x:c r="B35" s="86" t="n">
        <x:v>0</x:v>
      </x:c>
      <x:c r="C35" s="86" t="n">
        <x:v>613826</x:v>
      </x:c>
      <x:c r="D35" s="77" t="str">
        <x:v>半年报Note 3</x:v>
      </x:c>
      <x:c r="E35" s="77"/>
      <x:c r="F35" s="77"/>
      <x:c r="G35" s="77"/>
      <x:c r="H35" s="67"/>
      <x:c r="I35" s="68"/>
      <x:c r="J35" s="2"/>
      <x:c r="K35" s="2"/>
      <x:c r="L35" s="2"/>
      <x:c r="M35" s="2"/>
      <x:c r="N35" s="2"/>
      <x:c r="O35" s="2"/>
    </x:row>
    <x:row r="36" ht="26" customHeight="1">
      <x:c r="A36" s="78" t="str">
        <x:v>产品</x:v>
      </x:c>
      <x:c r="B36" s="79" t="n">
        <x:v>19184</x:v>
      </x:c>
      <x:c r="C36" s="79" t="n">
        <x:v>110362</x:v>
      </x:c>
      <x:c r="D36" s="83" t="str">
        <x:v>半年报Note 3</x:v>
      </x:c>
      <x:c r="E36" s="80"/>
      <x:c r="F36" s="80"/>
      <x:c r="G36" s="80"/>
      <x:c r="H36" s="67"/>
      <x:c r="I36" s="68"/>
      <x:c r="J36" s="2"/>
      <x:c r="K36" s="2"/>
      <x:c r="L36" s="2"/>
      <x:c r="M36" s="2"/>
      <x:c r="N36" s="2"/>
      <x:c r="O36" s="2"/>
    </x:row>
    <x:row r="37" ht="26" customHeight="1">
      <x:c r="A37" s="132" t="str">
        <x:v>开发服务</x:v>
      </x:c>
      <x:c r="B37" s="134" t="n">
        <x:v>1004395</x:v>
      </x:c>
      <x:c r="C37" s="134" t="n">
        <x:v>498557</x:v>
      </x:c>
      <x:c r="D37" s="124" t="str">
        <x:v>半年报Note 3</x:v>
      </x:c>
      <x:c r="E37" s="118"/>
      <x:c r="F37" s="118"/>
      <x:c r="G37" s="118"/>
      <x:c r="H37" s="67"/>
      <x:c r="I37" s="68"/>
      <x:c r="J37" s="2"/>
      <x:c r="K37" s="2"/>
      <x:c r="L37" s="2"/>
      <x:c r="M37" s="2"/>
      <x:c r="N37" s="2"/>
      <x:c r="O37" s="2"/>
    </x:row>
    <x:row r="38" ht="26" customHeight="1">
      <x:c r="A38" s="78" t="str">
        <x:v>合计</x:v>
      </x:c>
      <x:c r="B38" s="79" t="n">
        <x:f>SUM(B35:B37)</x:f>
        <x:v>1023579</x:v>
      </x:c>
      <x:c r="C38" s="79" t="n">
        <x:f>SUM(C35:C37)</x:f>
        <x:v>1222745</x:v>
      </x:c>
      <x:c r="D38" s="83" t="str">
        <x:v>监管半年报</x:v>
      </x:c>
      <x:c r="E38" s="80"/>
      <x:c r="F38" s="80"/>
      <x:c r="G38" s="80"/>
      <x:c r="H38" s="67"/>
      <x:c r="I38" s="68"/>
      <x:c r="J38" s="2"/>
      <x:c r="K38" s="2"/>
      <x:c r="L38" s="2"/>
      <x:c r="M38" s="2"/>
      <x:c r="N38" s="2"/>
      <x:c r="O38" s="2"/>
    </x:row>
    <x:row r="39" ht="28" customHeight="1">
      <x:c r="A39" s="132"/>
      <x:c r="B39" s="134"/>
      <x:c r="C39" s="134"/>
      <x:c r="D39" s="124"/>
      <x:c r="E39" s="80"/>
      <x:c r="F39" s="80"/>
      <x:c r="G39" s="80"/>
      <x:c r="H39" s="67"/>
      <x:c r="I39" s="68"/>
      <x:c r="J39" s="2"/>
      <x:c r="K39" s="2"/>
      <x:c r="L39" s="2"/>
      <x:c r="M39" s="2"/>
      <x:c r="N39" s="2"/>
      <x:c r="O39" s="2"/>
    </x:row>
    <x:row r="40" ht="28" customHeight="1">
      <x:c r="A40" s="199" t="str">
        <x:v>现金与客户指标</x:v>
      </x:c>
      <x:c r="B40" s="200" t="str">
        <x:v>2025 H1</x:v>
      </x:c>
      <x:c r="C40" s="200" t="str">
        <x:v>2026 H1</x:v>
      </x:c>
      <x:c r="D40" s="201" t="str">
        <x:v>边界</x:v>
      </x:c>
      <x:c r="E40" s="80"/>
      <x:c r="F40" s="80"/>
      <x:c r="G40" s="80"/>
      <x:c r="H40" s="67"/>
      <x:c r="I40" s="68"/>
      <x:c r="J40" s="2"/>
      <x:c r="K40" s="2"/>
      <x:c r="L40" s="2"/>
      <x:c r="M40" s="2"/>
      <x:c r="N40" s="2"/>
      <x:c r="O40" s="2"/>
    </x:row>
    <x:row r="41" ht="30" customHeight="1">
      <x:c r="A41" s="132" t="str">
        <x:v>客户收款</x:v>
      </x:c>
      <x:c r="B41" s="134" t="n">
        <x:v>1522026</x:v>
      </x:c>
      <x:c r="C41" s="134" t="n">
        <x:v>813247</x:v>
      </x:c>
      <x:c r="D41" s="133" t="str">
        <x:v>现金流，不等于收入</x:v>
      </x:c>
      <x:c r="E41" s="80"/>
      <x:c r="F41" s="80"/>
      <x:c r="G41" s="80"/>
      <x:c r="H41" s="67"/>
      <x:c r="I41" s="68"/>
      <x:c r="J41" s="2"/>
      <x:c r="K41" s="2"/>
      <x:c r="L41" s="2"/>
      <x:c r="M41" s="2"/>
      <x:c r="N41" s="2"/>
      <x:c r="O41" s="2"/>
    </x:row>
    <x:row r="42" ht="30" customHeight="1">
      <x:c r="A42" s="105" t="str">
        <x:v>经营现金净流出</x:v>
      </x:c>
      <x:c r="B42" s="79" t="n">
        <x:v>6990176</x:v>
      </x:c>
      <x:c r="C42" s="79" t="n">
        <x:v>11253495</x:v>
      </x:c>
      <x:c r="D42" s="80" t="str">
        <x:v>按流出绝对值展示</x:v>
      </x:c>
      <x:c r="E42" s="80"/>
      <x:c r="F42" s="80"/>
      <x:c r="G42" s="80"/>
      <x:c r="H42" s="67"/>
      <x:c r="I42" s="68"/>
      <x:c r="J42" s="2"/>
      <x:c r="K42" s="2"/>
      <x:c r="L42" s="2"/>
      <x:c r="M42" s="2"/>
      <x:c r="N42" s="2"/>
      <x:c r="O42" s="2"/>
    </x:row>
    <x:row r="43" ht="30" customHeight="1">
      <x:c r="A43" s="105" t="str">
        <x:v>期末现金及现金等价物</x:v>
      </x:c>
      <x:c r="B43" s="79" t="n">
        <x:v>13458121</x:v>
      </x:c>
      <x:c r="C43" s="79" t="n">
        <x:v>20304971</x:v>
      </x:c>
      <x:c r="D43" s="83" t="str">
        <x:v>各年6月30日</x:v>
      </x:c>
      <x:c r="E43" s="80"/>
      <x:c r="F43" s="80"/>
      <x:c r="G43" s="80"/>
      <x:c r="H43" s="67"/>
      <x:c r="I43" s="122"/>
      <x:c r="J43" s="2"/>
      <x:c r="K43" s="2"/>
      <x:c r="L43" s="2"/>
      <x:c r="M43" s="2"/>
      <x:c r="N43" s="2"/>
      <x:c r="O43" s="2"/>
    </x:row>
    <x:row r="44" ht="30" customHeight="1">
      <x:c r="A44" s="105" t="str">
        <x:v>&gt;10%客户收入合计</x:v>
      </x:c>
      <x:c r="B44" s="79" t="n">
        <x:v>809706</x:v>
      </x:c>
      <x:c r="C44" s="79" t="n">
        <x:v>983780</x:v>
      </x:c>
      <x:c r="D44" s="83" t="str">
        <x:v>2026约占H1收入80.5%</x:v>
      </x:c>
      <x:c r="E44" s="80"/>
      <x:c r="F44" s="80"/>
      <x:c r="G44" s="80"/>
      <x:c r="H44" s="80"/>
      <x:c r="I44" s="127"/>
      <x:c r="J44" s="2"/>
      <x:c r="K44" s="2"/>
      <x:c r="L44" s="2"/>
      <x:c r="M44" s="2"/>
      <x:c r="N44" s="2"/>
      <x:c r="O44" s="2"/>
    </x:row>
    <x:row r="45" ht="30" customHeight="1">
      <x:c r="A45" s="106" t="str">
        <x:v>首批AKD1500生产批次</x:v>
      </x:c>
      <x:c r="B45" s="186"/>
      <x:c r="C45" s="186" t="n">
        <x:v>2000</x:v>
      </x:c>
      <x:c r="D45" s="125" t="str">
        <x:v>颗；公司收到，不是客户出货</x:v>
      </x:c>
      <x:c r="E45" s="107"/>
      <x:c r="F45" s="107"/>
      <x:c r="G45" s="107"/>
      <x:c r="H45" s="107"/>
      <x:c r="I45" s="128"/>
      <x:c r="J45" s="2"/>
      <x:c r="K45" s="2"/>
      <x:c r="L45" s="2"/>
      <x:c r="M45" s="2"/>
      <x:c r="N45" s="2"/>
      <x:c r="O45" s="2"/>
    </x:row>
    <x:row r="46" ht="34" customHeight="1">
      <x:c r="A46" s="4"/>
      <x:c r="B46" s="3"/>
      <x:c r="C46" s="3"/>
      <x:c r="D46" s="4"/>
      <x:c r="E46" s="3"/>
      <x:c r="F46" s="3"/>
      <x:c r="G46" s="3"/>
      <x:c r="H46" s="3"/>
      <x:c r="I46" s="4"/>
      <x:c r="J46" s="2"/>
      <x:c r="K46" s="2"/>
      <x:c r="L46" s="2"/>
      <x:c r="M46" s="2"/>
      <x:c r="N46" s="2"/>
      <x:c r="O46" s="2"/>
    </x:row>
    <x:row r="47" ht="34" customHeight="1">
      <x:c r="A47" s="4" t="str">
        <x:v>来源</x:v>
      </x:c>
      <x:c r="B47" s="3" t="str">
        <x:v>https://investor.brainchip.com/wp-content/uploads/2026/09/2026-08-26-June-2026-half-yearly-report.pdf</x:v>
      </x:c>
      <x:c r="C47" s="3"/>
      <x:c r="D47" s="4"/>
      <x:c r="E47" s="3"/>
      <x:c r="F47" s="3"/>
      <x:c r="G47" s="3"/>
      <x:c r="H47" s="3"/>
      <x:c r="I47" s="4"/>
      <x:c r="J47" s="2"/>
      <x:c r="K47" s="2"/>
      <x:c r="L47" s="2"/>
      <x:c r="M47" s="2"/>
      <x:c r="N47" s="2"/>
      <x:c r="O47" s="2"/>
    </x:row>
    <x:row r="48" ht="34" customHeight="1">
      <x:c r="A48" s="3" t="str">
        <x:v>边界</x:v>
      </x:c>
      <x:c r="B48" s="3" t="str">
        <x:v>BrainChip财务数据来自监管半年报；SpiNNcloud 336万欧元为公共采购合同授予值，不计入BrainChip收入图，也不等于SpiNNcloud已付款或确认收入。</x:v>
      </x:c>
      <x:c r="C48" s="3"/>
      <x:c r="D48" s="4"/>
      <x:c r="E48" s="3"/>
      <x:c r="F48" s="3"/>
      <x:c r="G48" s="3"/>
      <x:c r="H48" s="3"/>
      <x:c r="I48" s="4"/>
      <x:c r="J48" s="2"/>
      <x:c r="K48" s="2"/>
      <x:c r="L48" s="2"/>
      <x:c r="M48" s="2"/>
      <x:c r="N48" s="2"/>
      <x:c r="O48" s="2"/>
    </x:row>
    <x:row r="49" ht="82" customHeight="1">
      <x:c r="A49" s="3"/>
      <x:c r="B49" s="3"/>
      <x:c r="C49" s="3"/>
      <x:c r="D49" s="4"/>
      <x:c r="E49" s="3"/>
      <x:c r="F49" s="3"/>
      <x:c r="G49" s="3"/>
      <x:c r="H49" s="3"/>
      <x:c r="I49" s="4"/>
      <x:c r="J49" s="2"/>
      <x:c r="K49" s="2"/>
      <x:c r="L49" s="2"/>
      <x:c r="M49" s="2"/>
      <x:c r="N49" s="2"/>
      <x:c r="O49" s="2"/>
    </x:row>
    <x:row r="50" ht="82" customHeight="1">
      <x:c r="A50" s="3" t="str">
        <x:v>研究编号</x:v>
      </x:c>
      <x:c r="B50" s="3" t="str">
        <x:v>研究主体</x:v>
      </x:c>
      <x:c r="C50" s="3" t="str">
        <x:v>路线</x:v>
      </x:c>
      <x:c r="D50" s="4" t="str">
        <x:v>发布日期</x:v>
      </x:c>
      <x:c r="E50" s="3" t="str">
        <x:v>证据类型</x:v>
      </x:c>
      <x:c r="F50" s="3" t="str">
        <x:v>作者报告指标</x:v>
      </x:c>
      <x:c r="G50" s="3" t="str">
        <x:v>边界</x:v>
      </x:c>
      <x:c r="H50" s="3" t="str">
        <x:v>原始URL</x:v>
      </x:c>
      <x:c r="I50" s="4" t="str">
        <x:v>检索日期</x:v>
      </x:c>
      <x:c r="J50" s="2"/>
      <x:c r="K50" s="2"/>
      <x:c r="L50" s="2"/>
      <x:c r="M50" s="2"/>
      <x:c r="N50" s="2"/>
      <x:c r="O50" s="2"/>
    </x:row>
    <x:row r="51" ht="82" customHeight="1">
      <x:c r="A51" s="3" t="str">
        <x:v>R001</x:v>
      </x:c>
      <x:c r="B51" s="3" t="str">
        <x:v>GelNeuro／中科院自动化所</x:v>
      </x:c>
      <x:c r="C51" s="3" t="str">
        <x:v>GelSight Mini前端＋Speck2f DVS／SCNN直接推理</x:v>
      </x:c>
      <x:c r="D51" s="4" t="d">
        <x:v>2026-07-06T00:00:00.000Z</x:v>
      </x:c>
      <x:c r="E51" s="3" t="str">
        <x:v>作者预印本实机研究结果，未独立复现</x:v>
      </x:c>
      <x:c r="F51" s="3" t="str">
        <x:v>15类纹理；96.3%；80ms窗口；板级活动19.6mW</x:v>
      </x:c>
      <x:c r="G51" s="3" t="str">
        <x:v>离线PC训练；不是完整机器人功耗、在线学习、真实客户或世界模型训练</x:v>
      </x:c>
      <x:c r="H51" s="3" t="str">
        <x:v>https://arxiv.org/html/2607.05241v1</x:v>
      </x:c>
      <x:c r="I51" s="4" t="d">
        <x:v>2026-10-02T00:00:00.000Z</x:v>
      </x:c>
      <x:c r="J51" s="2"/>
      <x:c r="K51" s="2"/>
      <x:c r="L51" s="2"/>
      <x:c r="M51" s="2"/>
      <x:c r="N51" s="2"/>
      <x:c r="O51" s="2"/>
    </x:row>
    <x:row r="52" ht="82" customHeight="1">
      <x:c r="A52" s="4" t="str">
        <x:v>R002</x:v>
      </x:c>
      <x:c r="B52" s="3" t="str">
        <x:v>SpikingTac／中科院自动化所</x:v>
      </x:c>
      <x:c r="C52" s="3" t="str">
        <x:v>独立事件相机＋动态状态图与迟滞补偿</x:v>
      </x:c>
      <x:c r="D52" s="4" t="d">
        <x:v>2026-02-27T00:00:00.000Z</x:v>
      </x:c>
      <x:c r="E52" s="3" t="str">
        <x:v>作者预印本研究样机，未独立复现</x:v>
      </x:c>
      <x:c r="F52" s="3" t="str">
        <x:v>感知1000Hz、跟踪350Hz；实验碰撞后过冲6.2mm</x:v>
      </x:c>
      <x:c r="G52" s="3" t="str">
        <x:v>动态事件状态处理不自动等于SNN芯片；无商业出货／收入证据</x:v>
      </x:c>
      <x:c r="H52" s="3" t="str">
        <x:v>https://arxiv.org/html/2602.23654v1</x:v>
      </x:c>
      <x:c r="I52" s="4" t="d">
        <x:v>2026-10-02T00:00:00.000Z</x:v>
      </x:c>
      <x:c r="J52" s="2"/>
      <x:c r="K52" s="2"/>
      <x:c r="L52" s="2"/>
      <x:c r="M52" s="2"/>
      <x:c r="N52" s="2"/>
      <x:c r="O52" s="2"/>
    </x:row>
    <x:row r="53" ht="82" customHeight="1">
      <x:c r="A53" s="4" t="str">
        <x:v>R003</x:v>
      </x:c>
      <x:c r="B53" s="3" t="str">
        <x:v>OmniVTA／NUS、CASIA等</x:v>
      </x:c>
      <x:c r="C53" s="3" t="str">
        <x:v>视触觉世界模型＋60Hz触觉反射闭环</x:v>
      </x:c>
      <x:c r="D53" s="4" t="d">
        <x:v>2026-03-19T00:00:00.000Z</x:v>
      </x:c>
      <x:c r="E53" s="3" t="str">
        <x:v>作者预印本、项目页与真机实验；未独立复现</x:v>
      </x:c>
      <x:c r="F53" s="3" t="str">
        <x:v>21,879轨迹、86任务、100+物体；六类接触任务真机评估</x:v>
      </x:c>
      <x:c r="G53" s="3" t="str">
        <x:v>采用Xense、GelSight Mini、Tac3D、Daimon等常规触觉，不是事件触觉或SNN芯片；代码／数据仅称将公开</x:v>
      </x:c>
      <x:c r="H53" s="3" t="str">
        <x:v>https://arxiv.org/html/2603.19201v3</x:v>
      </x:c>
      <x:c r="I53" s="4" t="d">
        <x:v>2026-10-02T00:00:00.000Z</x:v>
      </x:c>
      <x:c r="J53" s="2"/>
      <x:c r="K53" s="2"/>
      <x:c r="L53" s="2"/>
      <x:c r="M53" s="2"/>
      <x:c r="N53" s="2"/>
      <x:c r="O53" s="2"/>
    </x:row>
    <x:row r="54" ht="82" customHeight="1">
      <x:c r="A54" s="4" t="str">
        <x:v>R004</x:v>
      </x:c>
      <x:c r="B54" s="3" t="str">
        <x:v>Event-VLA／上海科技大学等</x:v>
      </x:c>
      <x:c r="C54" s="3" t="str">
        <x:v>DAVIS事件相机＋VLA动作条件事件融合</x:v>
      </x:c>
      <x:c r="D54" s="4" t="d">
        <x:v>2026-06-28T00:00:00.000Z</x:v>
      </x:c>
      <x:c r="E54" s="3" t="str">
        <x:v>作者预印本真机研究；Franka Research 3与真实事件相机，未独立复现</x:v>
      </x:c>
      <x:c r="F54" s="3" t="str">
        <x:v>80次示范、4任务；作者报近暗环境平均成功率52.5%，正常光72.5%</x:v>
      </x:c>
      <x:c r="G54" s="3" t="str">
        <x:v>事件视觉而非触觉；VLA动作模型而非明确世界模型；小样本研究，RTX 4090服务器，无专用类脑芯片</x:v>
      </x:c>
      <x:c r="H54" s="3" t="str">
        <x:v>https://arxiv.org/html/2606.29384v1</x:v>
      </x:c>
      <x:c r="I54" s="4" t="d">
        <x:v>2026-10-02T00:00:00.000Z</x:v>
      </x:c>
      <x:c r="J54" s="2"/>
      <x:c r="K54" s="2"/>
      <x:c r="L54" s="2"/>
      <x:c r="M54" s="2"/>
      <x:c r="N54" s="2"/>
      <x:c r="O54" s="2"/>
    </x:row>
    <x:row r="55" ht="82" customHeight="1">
      <x:c r="A55" s="4" t="str">
        <x:v>R005</x:v>
      </x:c>
      <x:c r="B55" s="3" t="str">
        <x:v>TouchWorld／研究团队</x:v>
      </x:c>
      <x:c r="C55" s="3" t="str">
        <x:v>预测式＋反应式触觉基础模型</x:v>
      </x:c>
      <x:c r="D55" s="4" t="d">
        <x:v>2026-07-08T00:00:00.000Z</x:v>
      </x:c>
      <x:c r="E55" s="3" t="str">
        <x:v>作者预印本研究；未独立复现</x:v>
      </x:c>
      <x:c r="F55" s="3" t="str">
        <x:v>6项灵巧操作任务；作者报65.0%干净条件、53.7%扰动条件</x:v>
      </x:c>
      <x:c r="G55" s="3" t="str">
        <x:v>使用压力手套／常规触觉适配，不是事件触觉或SNN芯片；商业客户、代码和部署未知</x:v>
      </x:c>
      <x:c r="H55" s="3" t="str">
        <x:v>https://arxiv.org/abs/2607.07287</x:v>
      </x:c>
      <x:c r="I55" s="4" t="d">
        <x:v>2026-10-02T00:00:00.000Z</x:v>
      </x:c>
      <x:c r="J55" s="2"/>
      <x:c r="K55" s="2"/>
      <x:c r="L55" s="2"/>
      <x:c r="M55" s="2"/>
      <x:c r="N55" s="2"/>
      <x:c r="O55" s="2"/>
    </x:row>
    <x:row r="56" ht="82" customHeight="1">
      <x:c r="A56" s="4" t="str">
        <x:v>R006</x:v>
      </x:c>
      <x:c r="B56" s="3" t="str">
        <x:v>CLP-SNN／LMU、Intel等</x:v>
      </x:c>
      <x:c r="C56" s="3" t="str">
        <x:v>Loihi2原型分配与片上写入；完整自适应规则仅仿真</x:v>
      </x:c>
      <x:c r="D56" s="4" t="d">
        <x:v>2026-05-05T00:00:00.000Z</x:v>
      </x:c>
      <x:c r="E56" s="3" t="str">
        <x:v>作者论文v2 Methods及代码；实机科研，未独立复现</x:v>
      </x:c>
      <x:c r="F56" s="3" t="str">
        <x:v>作者报学习模块0.33ms／0.05mJ；硬件为原型写入一次后冻结，错误时新增原型</x:v>
      </x:c>
      <x:c r="G56" s="3" t="str">
        <x:v>主机GPU冻结EfficientNet-B0提取1280维特征；不含特征提取与IO。完整自适应／元可塑性未完整上芯；实机代码需联系作者，依赖专有Lava-Loihi。初稿2025-11-03；v2提交2026-05-05，HTML题头另标8月24日，不替代版本日期。非客户出货／收入。</x:v>
      </x:c>
      <x:c r="H56" s="3" t="str">
        <x:v>https://arxiv.org/html/2511.01553v2</x:v>
      </x:c>
      <x:c r="I56" s="4" t="d">
        <x:v>2026-10-02T00:00:00.000Z</x:v>
      </x:c>
      <x:c r="J56" s="2"/>
      <x:c r="K56" s="2"/>
      <x:c r="L56" s="2"/>
      <x:c r="M56" s="2"/>
      <x:c r="N56" s="2"/>
      <x:c r="O56" s="2"/>
    </x:row>
    <x:row r="57" ht="50" customHeight="1">
      <x:c r="A57" s="11"/>
      <x:c r="B57" s="2"/>
      <x:c r="C57" s="2"/>
      <x:c r="D57" s="2"/>
      <x:c r="E57" s="2"/>
      <x:c r="F57" s="2"/>
      <x:c r="G57" s="2"/>
      <x:c r="H57" s="2"/>
      <x:c r="I57" s="2"/>
      <x:c r="J57" s="2"/>
      <x:c r="K57" s="2"/>
      <x:c r="L57" s="2"/>
      <x:c r="M57" s="2"/>
      <x:c r="N57" s="2"/>
      <x:c r="O57" s="2"/>
    </x:row>
    <x:row r="58">
      <x:c r="A58" s="2"/>
      <x:c r="B58" s="2"/>
      <x:c r="C58" s="2"/>
      <x:c r="D58" s="2"/>
      <x:c r="E58" s="2"/>
      <x:c r="F58" s="2"/>
      <x:c r="G58" s="2"/>
      <x:c r="H58" s="2"/>
      <x:c r="I58" s="2"/>
      <x:c r="J58" s="2"/>
      <x:c r="K58" s="2"/>
      <x:c r="L58" s="2"/>
      <x:c r="M58" s="2"/>
      <x:c r="N58" s="2"/>
      <x:c r="O58" s="2"/>
    </x:row>
    <x:row r="59">
      <x:c r="A59" s="2"/>
      <x:c r="B59" s="2"/>
      <x:c r="C59" s="2"/>
      <x:c r="D59" s="2"/>
      <x:c r="E59" s="2"/>
      <x:c r="F59" s="2"/>
      <x:c r="G59" s="2"/>
      <x:c r="H59" s="2"/>
      <x:c r="I59" s="2"/>
      <x:c r="J59" s="2"/>
      <x:c r="K59" s="2"/>
      <x:c r="L59" s="2"/>
      <x:c r="M59" s="2"/>
      <x:c r="N59" s="2"/>
      <x:c r="O59" s="2"/>
    </x:row>
    <x:row r="60">
      <x:c r="A60" s="2"/>
      <x:c r="B60" s="2"/>
      <x:c r="C60" s="2"/>
      <x:c r="D60" s="2"/>
      <x:c r="E60" s="2"/>
      <x:c r="F60" s="2"/>
      <x:c r="G60" s="2"/>
      <x:c r="H60" s="2"/>
      <x:c r="I60" s="2"/>
      <x:c r="J60" s="2"/>
      <x:c r="K60" s="2"/>
      <x:c r="L60" s="2"/>
      <x:c r="M60" s="2"/>
      <x:c r="N60" s="2"/>
      <x:c r="O60" s="2"/>
    </x:row>
  </x:sheetData>
  <x:pageMargins left="0.7" right="0.7" top="0.75" bottom="0.75" header="0.3" footer="0.3"/>
  <x:tableParts count="2">
    <x:tablePart xmlns:r="http://schemas.openxmlformats.org/officeDocument/2006/relationships" r:id="R4921207f21dc4a2d"/>
    <x:tablePart xmlns:r="http://schemas.openxmlformats.org/officeDocument/2006/relationships" r:id="Rbfc7aa281e3a4397"/>
  </x:tableParts>
</x:worksheet>
</file>