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176ca91c59c42f9" /></Relationships>
</file>

<file path=xl/workbook.xml><?xml version="1.0" encoding="utf-8"?>
<x:workbook xmlns:x="http://schemas.openxmlformats.org/spreadsheetml/2006/main">
  <x:sheets>
    <x:sheet xmlns:r="http://schemas.openxmlformats.org/officeDocument/2006/relationships" name="图表汇总" sheetId="1" r:id="R986bfd418f3f40db"/>
    <x:sheet xmlns:r="http://schemas.openxmlformats.org/officeDocument/2006/relationships" name="主体证据" sheetId="2" r:id="R9ebff691dc7441ac"/>
    <x:sheet xmlns:r="http://schemas.openxmlformats.org/officeDocument/2006/relationships" name="产品阶段" sheetId="3" r:id="Rb9b07fdc46714696"/>
    <x:sheet xmlns:r="http://schemas.openxmlformats.org/officeDocument/2006/relationships" name="事件与财务" sheetId="4" r:id="R5dfc4a65c17f4ef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18">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4a73c9f6b6740b7" /><Relationship Type="http://schemas.openxmlformats.org/officeDocument/2006/relationships/theme" Target="/xl/theme/theme1.xml" Id="R049a1a9981e54f5a" /><Relationship Type="http://schemas.openxmlformats.org/officeDocument/2006/relationships/sharedStrings" Target="/xl/sharedStrings.xml" Id="R6c1285aec15a4f0d" /><Relationship Type="http://schemas.openxmlformats.org/officeDocument/2006/relationships/worksheet" Target="/xl/worksheets/sheet1.xml" Id="R986bfd418f3f40db" /><Relationship Type="http://schemas.openxmlformats.org/officeDocument/2006/relationships/worksheet" Target="/xl/worksheets/sheet2.xml" Id="R9ebff691dc7441ac" /><Relationship Type="http://schemas.openxmlformats.org/officeDocument/2006/relationships/worksheet" Target="/xl/worksheets/sheet3.xml" Id="Rb9b07fdc46714696" /><Relationship Type="http://schemas.openxmlformats.org/officeDocument/2006/relationships/worksheet" Target="/xl/worksheets/sheet4.xml" Id="R5dfc4a65c17f4ef8" /></Relationships>
</file>

<file path=xl/drawings/_rels/drawing1.xml.rels>&#65279;<?xml version="1.0" encoding="utf-8"?><Relationships xmlns="http://schemas.openxmlformats.org/package/2006/relationships"><Relationship Type="http://schemas.openxmlformats.org/officeDocument/2006/relationships/chart" Target="/xl/drawings/charts/chart1.xml" Id="Rfac6f94955fb4260" /><Relationship Type="http://schemas.openxmlformats.org/officeDocument/2006/relationships/chart" Target="/xl/drawings/charts/chart2.xml" Id="Rf0fbe0fb13134b99" /><Relationship Type="http://schemas.openxmlformats.org/officeDocument/2006/relationships/chart" Target="/xl/drawings/charts/chart3.xml" Id="R33a2c00abf00473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'图表汇总'!$A$13:$A$23</c:f>
              <c:strCache>
                <c:ptCount val="0"/>
              </c:strCache>
            </c:strRef>
          </c:cat>
          <c:val>
            <c:numRef>
              <c:f>'图表汇总'!$B$13:$B$23</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ac6f94955fb4260"/>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0fbe0fb13134b99"/>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3a2c00abf00473b"/>
        </a:graphicData>
      </a:graphic>
    </xdr:graphicFrame>
    <xdr:clientData/>
  </xdr:twoCellAnchor>
</xdr:wsDr>
</file>

<file path=xl/tables/table1.xml><?xml version="1.0" encoding="utf-8"?>
<x:table xmlns:x="http://schemas.openxmlformats.org/spreadsheetml/2006/main" id="21" name="CompanyEvidence" displayName="CompanyEvidence" ref="A1:I36"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24" name="ProductEvidence" displayName="ProductEvidence" ref="A1:J35"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20" name="TactileResearch" displayName="TactileResearch" ref="A42:I44"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Column8"/>
    <x:tableColumn id="9" name="Column9"/>
  </x:tableColumns>
  <x:tableStyleInfo name="TableStyleMedium2" showFirstColumn="0" showLastColumn="0" showRowStripes="1" showColumnStripes="0"/>
</x:table>
</file>

<file path=xl/tables/table4.xml><?xml version="1.0" encoding="utf-8"?>
<x:table xmlns:x="http://schemas.openxmlformats.org/spreadsheetml/2006/main" id="23" name="EventEvidence" displayName="EventEvidence" ref="A1:G21"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7bbe31c80db4d79" /></Relationships>
</file>

<file path=xl/worksheets/_rels/sheet2.xml.rels>&#65279;<?xml version="1.0" encoding="utf-8"?><Relationships xmlns="http://schemas.openxmlformats.org/package/2006/relationships"><Relationship Type="http://schemas.openxmlformats.org/officeDocument/2006/relationships/table" Target="/xl/tables/table1.xml" Id="R7464c35a04c24002" /></Relationships>
</file>

<file path=xl/worksheets/_rels/sheet3.xml.rels>&#65279;<?xml version="1.0" encoding="utf-8"?><Relationships xmlns="http://schemas.openxmlformats.org/package/2006/relationships"><Relationship Type="http://schemas.openxmlformats.org/officeDocument/2006/relationships/table" Target="/xl/tables/table2.xml" Id="R043e64d0c32447c3" /></Relationships>
</file>

<file path=xl/worksheets/_rels/sheet4.xml.rels>&#65279;<?xml version="1.0" encoding="utf-8"?><Relationships xmlns="http://schemas.openxmlformats.org/package/2006/relationships"><Relationship Type="http://schemas.openxmlformats.org/officeDocument/2006/relationships/table" Target="/xl/tables/table3.xml" Id="R45f34a20a8134d23" /><Relationship Type="http://schemas.openxmlformats.org/officeDocument/2006/relationships/table" Target="/xl/tables/table4.xml" Id="Rf9641a6af2d34d41"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19"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2026-10-02事件视觉与多模态采集模组更新。35个主体、34组产品、20项关键事件；另列2项研究，非市场份额。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v>11</x:v>
      </x:c>
      <x:c r="C6" s="2"/>
      <x:c r="D6" s="2"/>
      <x:c r="E6" s="2"/>
      <x:c r="F6" s="2"/>
      <x:c r="G6" s="2"/>
      <x:c r="H6" s="2"/>
      <x:c r="I6" s="2"/>
      <x:c r="J6" s="2"/>
      <x:c r="K6" s="2"/>
      <x:c r="L6" s="2"/>
      <x:c r="M6" s="2"/>
      <x:c r="N6" s="2"/>
      <x:c r="O6" s="2"/>
    </x:row>
    <x:row r="7" ht="25" customHeight="1">
      <x:c r="A7" s="2" t="str">
        <x:v>模型与系统</x:v>
      </x:c>
      <x:c r="B7" s="2" t="n">
        <x:v>6</x:v>
      </x:c>
      <x:c r="C7" s="2"/>
      <x:c r="D7" s="2"/>
      <x:c r="E7" s="2"/>
      <x:c r="F7" s="2"/>
      <x:c r="G7" s="2"/>
      <x:c r="H7" s="2"/>
      <x:c r="I7" s="2"/>
      <x:c r="J7" s="2"/>
      <x:c r="K7" s="2"/>
      <x:c r="L7" s="2"/>
      <x:c r="M7" s="2"/>
      <x:c r="N7" s="2"/>
      <x:c r="O7" s="2"/>
    </x:row>
    <x:row r="8" ht="25" customHeight="1">
      <x:c r="A8" s="2" t="str">
        <x:v>相邻替代</x:v>
      </x:c>
      <x:c r="B8" s="2" t="n">
        <x:v>18</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COUNTIFS('产品阶段'!$D$2:$D$35,A13)</x:f>
        <x:v>3</x:v>
      </x:c>
      <x:c r="C13" s="2"/>
      <x:c r="D13" s="2"/>
      <x:c r="E13" s="2"/>
      <x:c r="F13" s="2"/>
      <x:c r="G13" s="2"/>
      <x:c r="H13" s="2"/>
      <x:c r="I13" s="2"/>
      <x:c r="J13" s="2"/>
      <x:c r="K13" s="2"/>
      <x:c r="L13" s="2"/>
      <x:c r="M13" s="2"/>
      <x:c r="N13" s="2"/>
      <x:c r="O13" s="2"/>
    </x:row>
    <x:row r="14" ht="25" customHeight="1">
      <x:c r="A14" s="2" t="str">
        <x:v>研究／原型</x:v>
      </x:c>
      <x:c r="B14" s="2" t="n">
        <x:f>COUNTIFS('产品阶段'!$D$2:$D$35,A14)</x:f>
        <x:v>1</x:v>
      </x:c>
      <x:c r="C14" s="2"/>
      <x:c r="D14" s="2"/>
      <x:c r="E14" s="2"/>
      <x:c r="F14" s="2"/>
      <x:c r="G14" s="2"/>
      <x:c r="H14" s="2"/>
      <x:c r="I14" s="2"/>
      <x:c r="J14" s="2"/>
      <x:c r="K14" s="2"/>
      <x:c r="L14" s="2"/>
      <x:c r="M14" s="2"/>
      <x:c r="N14" s="2"/>
      <x:c r="O14" s="2"/>
    </x:row>
    <x:row r="15" ht="25" customHeight="1">
      <x:c r="A15" s="2" t="str">
        <x:v>工程样片</x:v>
      </x:c>
      <x:c r="B15" s="2" t="n">
        <x:f>COUNTIFS('产品阶段'!$D$2:$D$35,A15)</x:f>
        <x:v>2</x:v>
      </x:c>
      <x:c r="C15" s="2"/>
      <x:c r="D15" s="2"/>
      <x:c r="E15" s="2"/>
      <x:c r="F15" s="2"/>
      <x:c r="G15" s="2"/>
      <x:c r="H15" s="2"/>
      <x:c r="I15" s="2"/>
      <x:c r="J15" s="2"/>
      <x:c r="K15" s="2"/>
      <x:c r="L15" s="2"/>
      <x:c r="M15" s="2"/>
      <x:c r="N15" s="2"/>
      <x:c r="O15" s="2"/>
    </x:row>
    <x:row r="16" ht="25" customHeight="1">
      <x:c r="A16" s="2" t="str">
        <x:v>IP／商务接洽</x:v>
      </x:c>
      <x:c r="B16" s="2" t="n">
        <x:f>COUNTIFS('产品阶段'!$D$2:$D$35,A16)</x:f>
        <x:v>5</x:v>
      </x:c>
      <x:c r="C16" s="2"/>
      <x:c r="D16" s="2"/>
      <x:c r="E16" s="2"/>
      <x:c r="F16" s="2"/>
      <x:c r="G16" s="2"/>
      <x:c r="H16" s="2"/>
      <x:c r="I16" s="2"/>
      <x:c r="J16" s="2"/>
      <x:c r="K16" s="2"/>
      <x:c r="L16" s="2"/>
      <x:c r="M16" s="2"/>
      <x:c r="N16" s="2"/>
      <x:c r="O16" s="2"/>
    </x:row>
    <x:row r="17" ht="25" customHeight="1">
      <x:c r="A17" s="2" t="str">
        <x:v>开发平台</x:v>
      </x:c>
      <x:c r="B17" s="2" t="n">
        <x:f>COUNTIFS('产品阶段'!$D$2:$D$35,A17)</x:f>
        <x:v>1</x:v>
      </x:c>
      <x:c r="C17" s="2"/>
      <x:c r="D17" s="2"/>
      <x:c r="E17" s="2"/>
      <x:c r="F17" s="2"/>
      <x:c r="G17" s="2"/>
      <x:c r="H17" s="2"/>
      <x:c r="I17" s="2"/>
      <x:c r="J17" s="2"/>
      <x:c r="K17" s="2"/>
      <x:c r="L17" s="2"/>
      <x:c r="M17" s="2"/>
      <x:c r="N17" s="2"/>
      <x:c r="O17" s="2"/>
    </x:row>
    <x:row r="18" ht="25" customHeight="1">
      <x:c r="A18" s="2" t="str">
        <x:v>客户评估／模块</x:v>
      </x:c>
      <x:c r="B18" s="2" t="n">
        <x:f>COUNTIFS('产品阶段'!$D$2:$D$35,A18)</x:f>
        <x:v>5</x:v>
      </x:c>
      <x:c r="C18" s="2"/>
      <x:c r="D18" s="2"/>
      <x:c r="E18" s="2"/>
      <x:c r="F18" s="2"/>
      <x:c r="G18" s="2"/>
      <x:c r="H18" s="2"/>
      <x:c r="I18" s="2"/>
      <x:c r="J18" s="2"/>
      <x:c r="K18" s="2"/>
      <x:c r="L18" s="2"/>
      <x:c r="M18" s="2"/>
      <x:c r="N18" s="2"/>
      <x:c r="O18" s="2"/>
    </x:row>
    <x:row r="19" ht="25" customHeight="1">
      <x:c r="A19" s="2" t="str">
        <x:v>可采购硬件</x:v>
      </x:c>
      <x:c r="B19" s="2" t="n">
        <x:f>COUNTIFS('产品阶段'!$D$2:$D$35,A19)</x:f>
        <x:v>8</x:v>
      </x:c>
      <x:c r="C19" s="2"/>
      <x:c r="D19" s="2"/>
      <x:c r="E19" s="2"/>
      <x:c r="F19" s="2"/>
      <x:c r="G19" s="2"/>
      <x:c r="H19" s="2"/>
      <x:c r="I19" s="2"/>
      <x:c r="J19" s="2"/>
      <x:c r="K19" s="2"/>
      <x:c r="L19" s="2"/>
      <x:c r="M19" s="2"/>
      <x:c r="N19" s="2"/>
      <x:c r="O19" s="2"/>
    </x:row>
    <x:row r="20" ht="25" customHeight="1">
      <x:c r="A20" s="2" t="str">
        <x:v>商品页／售罄</x:v>
      </x:c>
      <x:c r="B20" s="2" t="n">
        <x:f>COUNTIFS('产品阶段'!$D$2:$D$35,A20)</x:f>
        <x:v>1</x:v>
      </x:c>
      <x:c r="C20" s="2"/>
      <x:c r="D20" s="2"/>
      <x:c r="E20" s="2"/>
      <x:c r="F20" s="2"/>
      <x:c r="G20" s="2"/>
      <x:c r="H20" s="2"/>
      <x:c r="I20" s="2"/>
      <x:c r="J20" s="2"/>
      <x:c r="K20" s="2"/>
      <x:c r="L20" s="2"/>
      <x:c r="M20" s="2"/>
      <x:c r="N20" s="2"/>
      <x:c r="O20" s="2"/>
    </x:row>
    <x:row r="21" ht="25" customHeight="1">
      <x:c r="A21" s="2" t="str">
        <x:v>生产／部署声明</x:v>
      </x:c>
      <x:c r="B21" s="2" t="n">
        <x:f>COUNTIFS('产品阶段'!$D$2:$D$35,A21)</x:f>
        <x:v>6</x:v>
      </x:c>
      <x:c r="C21" s="2"/>
      <x:c r="D21" s="2"/>
      <x:c r="E21" s="2"/>
      <x:c r="F21" s="2"/>
      <x:c r="G21" s="2"/>
      <x:c r="H21" s="2"/>
      <x:c r="I21" s="2"/>
      <x:c r="J21" s="2"/>
      <x:c r="K21" s="2"/>
      <x:c r="L21" s="2"/>
      <x:c r="M21" s="2"/>
      <x:c r="N21" s="2"/>
      <x:c r="O21" s="2"/>
    </x:row>
    <x:row r="22" ht="25" customHeight="1">
      <x:c r="A22" s="2" t="str">
        <x:v>发布／演示</x:v>
      </x:c>
      <x:c r="B22" s="2" t="n">
        <x:f>COUNTIFS('产品阶段'!$D$2:$D$35,A22)</x:f>
        <x:v>1</x:v>
      </x:c>
      <x:c r="C22" s="2"/>
      <x:c r="D22" s="2"/>
      <x:c r="E22" s="2"/>
      <x:c r="F22" s="2"/>
      <x:c r="G22" s="2"/>
      <x:c r="H22" s="2"/>
      <x:c r="I22" s="2"/>
      <x:c r="J22" s="2"/>
      <x:c r="K22" s="2"/>
      <x:c r="L22" s="2"/>
      <x:c r="M22" s="2"/>
      <x:c r="N22" s="2"/>
      <x:c r="O22" s="2"/>
    </x:row>
    <x:row r="23" ht="25" customHeight="1">
      <x:c r="A23" s="2" t="str">
        <x:v>科研部署已确认</x:v>
      </x:c>
      <x:c r="B23" s="2" t="n">
        <x:f>COUNTIFS('产品阶段'!$D$2:$D$35,A23)</x:f>
        <x:v>1</x:v>
      </x:c>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'事件与财务'!B27</x:f>
        <x:v>0</x:v>
      </x:c>
      <x:c r="C26" s="5" t="n">
        <x:f>'事件与财务'!C27</x:f>
        <x:v>613826</x:v>
      </x:c>
      <x:c r="D26" s="6" t="n">
        <x:f>C26/'事件与财务'!C30</x:f>
        <x:v>0.5020065508343932</x:v>
      </x:c>
      <x:c r="E26" s="2"/>
      <x:c r="F26" s="2"/>
      <x:c r="G26" s="2"/>
      <x:c r="H26" s="2"/>
      <x:c r="I26" s="2"/>
      <x:c r="J26" s="2"/>
      <x:c r="K26" s="2"/>
      <x:c r="L26" s="2"/>
      <x:c r="M26" s="2"/>
      <x:c r="N26" s="2"/>
      <x:c r="O26" s="2"/>
    </x:row>
    <x:row r="27" ht="25" customHeight="1">
      <x:c r="A27" s="2" t="str">
        <x:v>产品</x:v>
      </x:c>
      <x:c r="B27" s="5" t="n">
        <x:f>'事件与财务'!B28</x:f>
        <x:v>19184</x:v>
      </x:c>
      <x:c r="C27" s="5" t="n">
        <x:f>'事件与财务'!C28</x:f>
        <x:v>110362</x:v>
      </x:c>
      <x:c r="D27" s="6" t="n">
        <x:f>C27/'事件与财务'!C30</x:f>
        <x:v>0.09025757619127454</x:v>
      </x:c>
      <x:c r="E27" s="2"/>
      <x:c r="F27" s="2"/>
      <x:c r="G27" s="2"/>
      <x:c r="H27" s="2"/>
      <x:c r="I27" s="2"/>
      <x:c r="J27" s="2"/>
      <x:c r="K27" s="2"/>
      <x:c r="L27" s="2"/>
      <x:c r="M27" s="2"/>
      <x:c r="N27" s="2"/>
      <x:c r="O27" s="2"/>
    </x:row>
    <x:row r="28" ht="25" customHeight="1">
      <x:c r="A28" s="2" t="str">
        <x:v>开发服务</x:v>
      </x:c>
      <x:c r="B28" s="5" t="n">
        <x:f>'事件与财务'!B29</x:f>
        <x:v>1004395</x:v>
      </x:c>
      <x:c r="C28" s="5" t="n">
        <x:f>'事件与财务'!C29</x:f>
        <x:v>498557</x:v>
      </x:c>
      <x:c r="D28" s="6" t="n">
        <x:f>C28/'事件与财务'!C30</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2"/>
      <x:c r="B39" s="2"/>
      <x:c r="C39" s="2"/>
      <x:c r="D39" s="2"/>
      <x:c r="E39" s="2"/>
      <x:c r="F39" s="2"/>
      <x:c r="G39" s="2"/>
      <x:c r="H39" s="2"/>
      <x:c r="I39" s="2"/>
      <x:c r="J39" s="2"/>
      <x:c r="K39" s="2"/>
      <x:c r="L39" s="2"/>
      <x:c r="M39" s="2"/>
      <x:c r="N39" s="2"/>
      <x:c r="O39" s="2"/>
    </x:row>
    <x:row r="40" ht="30" customHeight="1">
      <x:c r="A40" s="120" t="str">
        <x:v>并购与退出追溯</x:v>
      </x:c>
      <x:c r="B40" s="120" t="str">
        <x:v>日期</x:v>
      </x:c>
      <x:c r="C40" s="120" t="str">
        <x:v>状态</x:v>
      </x:c>
      <x:c r="D40" s="120" t="str">
        <x:v>证据边界</x:v>
      </x:c>
      <x:c r="E40" s="2"/>
      <x:c r="F40" s="2"/>
      <x:c r="G40" s="2"/>
      <x:c r="H40" s="2"/>
      <x:c r="I40" s="2"/>
      <x:c r="J40" s="2"/>
      <x:c r="K40" s="2"/>
      <x:c r="L40" s="2"/>
      <x:c r="M40" s="2"/>
      <x:c r="N40" s="2"/>
      <x:c r="O40" s="2"/>
    </x:row>
    <x:row r="41" ht="42" customHeight="1">
      <x:c r="A41" s="3" t="str">
        <x:v>GrAI Matter Labs → Snap</x:v>
      </x:c>
      <x:c r="B41" s="4" t="n">
        <x:v>45230</x:v>
      </x:c>
      <x:c r="C41" s="3" t="str">
        <x:v>交易后于2024-02-01吸收合并注销</x:v>
      </x:c>
      <x:c r="D41" s="3" t="str">
        <x:v>不再计独立供应商；技术落地与收购价未知</x:v>
      </x:c>
      <x:c r="E41" s="2"/>
      <x:c r="F41" s="2"/>
      <x:c r="G41" s="2"/>
      <x:c r="H41" s="2"/>
      <x:c r="I41" s="2"/>
      <x:c r="J41" s="2"/>
      <x:c r="K41" s="2"/>
      <x:c r="L41" s="2"/>
      <x:c r="M41" s="2"/>
      <x:c r="N41" s="2"/>
      <x:c r="O41" s="2"/>
    </x:row>
    <x:row r="42" ht="42" customHeight="1">
      <x:c r="A42" s="3" t="str">
        <x:v>iniVation → SynSense Group</x:v>
      </x:c>
      <x:c r="B42" s="4" t="n">
        <x:v>45323</x:v>
      </x:c>
      <x:c r="C42" s="3" t="str">
        <x:v>100%股份收购；苏黎世实体继续运营</x:v>
      </x:c>
      <x:c r="D42" s="3" t="str">
        <x:v>交易金额未知；品牌／产品继续不等于独立所有权</x:v>
      </x:c>
      <x:c r="E42" s="2"/>
      <x:c r="F42" s="2"/>
      <x:c r="G42" s="2"/>
      <x:c r="H42" s="2"/>
      <x:c r="I42" s="2"/>
      <x:c r="J42" s="2"/>
      <x:c r="K42" s="2"/>
      <x:c r="L42" s="2"/>
      <x:c r="M42" s="2"/>
      <x:c r="N42" s="2"/>
      <x:c r="O42" s="2"/>
    </x:row>
    <x:row r="43" ht="42" customHeight="1">
      <x:c r="A43" s="3" t="str">
        <x:v>Knowles消费MEMS麦克风 → Syntiant</x:v>
      </x:c>
      <x:c r="B43" s="4" t="n">
        <x:v>45656</x:v>
      </x:c>
      <x:c r="C43" s="3" t="str">
        <x:v>已完成；1.5亿美元现金加股票</x:v>
      </x:c>
      <x:c r="D43" s="3" t="str">
        <x:v>2.56亿美元为被收购业务2023收入，不是NDP芯片收入</x:v>
      </x:c>
      <x:c r="E43" s="2"/>
      <x:c r="F43" s="2"/>
      <x:c r="G43" s="2"/>
      <x:c r="H43" s="2"/>
      <x:c r="I43" s="2"/>
      <x:c r="J43" s="2"/>
      <x:c r="K43" s="2"/>
      <x:c r="L43" s="2"/>
      <x:c r="M43" s="2"/>
      <x:c r="N43" s="2"/>
      <x:c r="O43" s="2"/>
    </x:row>
    <x:row r="44" ht="42" customHeight="1">
      <x:c r="A44" s="3" t="str">
        <x:v>Videantis → Mythic</x:v>
      </x:c>
      <x:c r="B44" s="4" t="n">
        <x:v>46161</x:v>
      </x:c>
      <x:c r="C44" s="3" t="str">
        <x:v>已完成</x:v>
      </x:c>
      <x:c r="D44" s="3" t="str">
        <x:v>Videantis既有装机不计Mythic模拟APU出货</x:v>
      </x:c>
      <x:c r="E44" s="2"/>
      <x:c r="F44" s="2"/>
      <x:c r="G44" s="2"/>
      <x:c r="H44" s="2"/>
      <x:c r="I44" s="2"/>
      <x:c r="J44" s="2"/>
      <x:c r="K44" s="2"/>
      <x:c r="L44" s="2"/>
      <x:c r="M44" s="2"/>
      <x:c r="N44" s="2"/>
      <x:c r="O44" s="2"/>
    </x:row>
    <x:row r="45" ht="42" customHeight="1">
      <x:c r="A45" s="3" t="str">
        <x:v>SceniX → World Labs</x:v>
      </x:c>
      <x:c r="B45" s="4" t="n">
        <x:v>46224</x:v>
      </x:c>
      <x:c r="C45" s="3" t="str">
        <x:v>已并入；R2S2R机器人仿真链</x:v>
      </x:c>
      <x:c r="D45" s="3" t="str">
        <x:v>公司展示未独立复现；金额和客户收入未知</x:v>
      </x:c>
      <x:c r="E45" s="2"/>
      <x:c r="F45" s="2"/>
      <x:c r="G45" s="2"/>
      <x:c r="H45" s="2"/>
      <x:c r="I45" s="2"/>
      <x:c r="J45" s="2"/>
      <x:c r="K45" s="2"/>
      <x:c r="L45" s="2"/>
      <x:c r="M45" s="2"/>
      <x:c r="N45" s="2"/>
      <x:c r="O45" s="2"/>
    </x:row>
    <x:row r="46" ht="42" customHeight="1">
      <x:c r="A46" s="3" t="str">
        <x:v>World Labs → AMD</x:v>
      </x:c>
      <x:c r="B46" s="4" t="n">
        <x:v>46291</x:v>
      </x:c>
      <x:c r="C46" s="3" t="str">
        <x:v>已签协议，预计年底完成</x:v>
      </x:c>
      <x:c r="D46" s="3" t="str">
        <x:v>约82亿美元全股票；仍待监管与交割条件</x:v>
      </x:c>
      <x:c r="E46" s="2"/>
      <x:c r="F46" s="2"/>
      <x:c r="G46" s="2"/>
      <x:c r="H46" s="2"/>
      <x:c r="I46" s="2"/>
      <x:c r="J46" s="2"/>
      <x:c r="K46" s="2"/>
      <x:c r="L46" s="2"/>
      <x:c r="M46" s="2"/>
      <x:c r="N46" s="2"/>
      <x:c r="O46" s="2"/>
    </x:row>
    <x:row r="47" ht="42" customHeight="1">
      <x:c r="A47" s="3" t="str">
        <x:v>统计边界</x:v>
      </x:c>
      <x:c r="B47" s="3"/>
      <x:c r="C47" s="3" t="str">
        <x:v>6项交易／整合记录</x:v>
      </x:c>
      <x:c r="D47" s="3" t="str">
        <x:v>拟收购与已完成交易分开；交易额、被收购业务收入和芯片收入不混用</x:v>
      </x:c>
      <x:c r="E47" s="2"/>
      <x:c r="F47" s="2"/>
      <x:c r="G47" s="2"/>
      <x:c r="H47" s="2"/>
      <x:c r="I47" s="2"/>
      <x:c r="J47" s="2"/>
      <x:c r="K47" s="2"/>
      <x:c r="L47" s="2"/>
      <x:c r="M47" s="2"/>
      <x:c r="N47" s="2"/>
      <x:c r="O47" s="2"/>
    </x:row>
    <x:row r="48">
      <x:c r="A48" s="2"/>
      <x:c r="B48" s="2"/>
      <x:c r="C48" s="2"/>
      <x:c r="D48" s="2"/>
      <x:c r="E48" s="2"/>
      <x:c r="F48" s="2"/>
      <x:c r="G48" s="2"/>
      <x:c r="H48" s="2"/>
      <x:c r="I48" s="2"/>
      <x:c r="J48" s="2"/>
      <x:c r="K48" s="2"/>
      <x:c r="L48" s="2"/>
      <x:c r="M48" s="2"/>
      <x:c r="N48" s="2"/>
      <x:c r="O48" s="2"/>
    </x:row>
    <x:row r="49">
      <x:c r="A49" s="2"/>
      <x:c r="B49" s="2"/>
      <x:c r="C49" s="2"/>
      <x:c r="D49" s="2"/>
      <x:c r="E49" s="2"/>
      <x:c r="F49" s="2"/>
      <x:c r="G49" s="2"/>
      <x:c r="H49" s="2"/>
      <x:c r="I49" s="2"/>
      <x:c r="J49" s="2"/>
      <x:c r="K49" s="2"/>
      <x:c r="L49" s="2"/>
      <x:c r="M49" s="2"/>
      <x:c r="N49" s="2"/>
      <x:c r="O49" s="2"/>
    </x:row>
    <x:row r="50">
      <x:c r="A50" s="2"/>
      <x:c r="B50" s="2"/>
      <x:c r="C50" s="2"/>
      <x:c r="D50" s="2"/>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d7bbe31c80db4d79"/>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0"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n">
        <x:v>46297</x:v>
      </x:c>
      <x:c r="J2" s="2"/>
      <x:c r="K2" s="2"/>
      <x:c r="L2" s="2"/>
      <x:c r="M2" s="2"/>
      <x:c r="N2" s="2"/>
      <x:c r="O2" s="2"/>
    </x:row>
    <x:row r="3" ht="70"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n">
        <x:v>46297</x:v>
      </x:c>
      <x:c r="J3" s="2"/>
      <x:c r="K3" s="2"/>
      <x:c r="L3" s="2"/>
      <x:c r="M3" s="2"/>
      <x:c r="N3" s="2"/>
      <x:c r="O3" s="2"/>
    </x:row>
    <x:row r="4" ht="70"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n">
        <x:v>46297</x:v>
      </x:c>
      <x:c r="J4" s="2"/>
      <x:c r="K4" s="2"/>
      <x:c r="L4" s="2"/>
      <x:c r="M4" s="2"/>
      <x:c r="N4" s="2"/>
      <x:c r="O4" s="2"/>
    </x:row>
    <x:row r="5" ht="70" customHeight="1">
      <x:c r="A5" s="3" t="str">
        <x:v>C004</x:v>
      </x:c>
      <x:c r="B5" s="3" t="str">
        <x:v>Prophesee</x:v>
      </x:c>
      <x:c r="C5" s="3" t="str">
        <x:v>硬件与平台</x:v>
      </x:c>
      <x:c r="D5" s="3" t="str">
        <x:v>事件视觉传感、软件、伙伴相机生态及Mantara整机</x:v>
      </x:c>
      <x:c r="E5" s="3" t="str">
        <x:v>Sony IMX636／637伙伴相机已有现货、系列生产或发货证据。OpenMV同时列出400美元GENX320模组与500美元多光谱事件相机模组；后者把GENX320与1MP／120 FPS彩色全局快门传感器同步集成，检索时两款均售罄。6月推出Mantara与Hearth。</x:v>
      </x:c>
      <x:c r="F5" s="3" t="str">
        <x:v>事件相机生态已越过样片，但商品页、价格和售罄状态不等于当前供货、销量、终端采用或Prophesee收入。多光谱模组证明事件流与彩色帧已有现成集成入口，不证明世界模型训练或SNN芯片采用；Mantara仅有公司现场验证口径。OpenEB仍公开，但公司已宣布OpenEB与独立Metavision SDK结束生命周期；Hearth公开迁移包和客户部署待核。</x:v>
      </x:c>
      <x:c r="G5" s="3" t="str">
        <x:v>Prophesee、IDS、LUCID与OpenMV官方产品／商店页；Prophesee资源与迁移公告，检索2026-10-02；事实、厂商宣称、分析和未知分列</x:v>
      </x:c>
      <x:c r="H5" s="3" t="str">
        <x:v>https://www.prophesee.ai/event-based-camera-partners/</x:v>
      </x:c>
      <x:c r="I5" s="4" t="n">
        <x:v>46297</x:v>
      </x:c>
      <x:c r="J5" s="2"/>
      <x:c r="K5" s="2"/>
      <x:c r="L5" s="2"/>
      <x:c r="M5" s="2"/>
      <x:c r="N5" s="2"/>
      <x:c r="O5" s="2"/>
    </x:row>
    <x:row r="6" ht="70" customHeight="1">
      <x:c r="A6" s="3" t="str">
        <x:v>C005</x:v>
      </x:c>
      <x:c r="B6" s="3" t="str">
        <x:v>SpiNNcloud</x:v>
      </x:c>
      <x:c r="C6" s="3" t="str">
        <x:v>硬件与平台</x:v>
      </x:c>
      <x:c r="D6" s="3" t="str">
        <x:v>SpiNNaker2事件通信、Arm可编程核与混合DNN／SNN科研系统</x:v>
      </x:c>
      <x:c r="E6" s="3" t="str">
        <x:v>Sandia确认Braunfels于2025年3月到货并部署，已开展随机游走热流模拟；莱比锡大学确认2025年10月科研系统投入运行。py-spinnaker2 v0.8.2标签提交日期2026-09-23，发布说明称首次公开Docker镜像，当前文档与Docker Hub可交叉核对。</x:v>
      </x:c>
      <x:c r="F6" s="3" t="str">
        <x:v>科研系统部署由使用方确认，但供应商合同、支付、收入、复购及整机实测未知。莱比锡约400万欧元是基础设施资助，不是SpiNNcloud收入；药物筛选项目采用int8 DNN，不应计成SNN训练。SDK公开不证明规模化训练或边端持续学习量产。</x:v>
      </x:c>
      <x:c r="G6" s="3" t="str">
        <x:v>Sandia与莱比锡大学使用方公告；ScaDS.AI项目；官方GitLab标签、SDK文档与Docker Hub。部署事实、机构宣称、分析与收入未知分列</x:v>
      </x:c>
      <x:c r="H6" s="3" t="str">
        <x:v>https://www.sandia.gov/research/news/brain-based-computing-for-nuclear-deterrence-solutions/</x:v>
      </x:c>
      <x:c r="I6" s="4" t="n">
        <x:v>46297</x:v>
      </x:c>
      <x:c r="J6" s="2"/>
      <x:c r="K6" s="2"/>
      <x:c r="L6" s="2"/>
      <x:c r="M6" s="2"/>
      <x:c r="N6" s="2"/>
      <x:c r="O6" s="2"/>
    </x:row>
    <x:row r="7" ht="70"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n">
        <x:v>46297</x:v>
      </x:c>
      <x:c r="J7" s="2"/>
      <x:c r="K7" s="2"/>
      <x:c r="L7" s="2"/>
      <x:c r="M7" s="2"/>
      <x:c r="N7" s="2"/>
      <x:c r="O7" s="2"/>
    </x:row>
    <x:row r="8" ht="70"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n">
        <x:v>46297</x:v>
      </x:c>
      <x:c r="J8" s="2"/>
      <x:c r="K8" s="2"/>
      <x:c r="L8" s="2"/>
      <x:c r="M8" s="2"/>
      <x:c r="N8" s="2"/>
      <x:c r="O8" s="2"/>
    </x:row>
    <x:row r="9" ht="70" customHeight="1">
      <x:c r="A9" s="3" t="str">
        <x:v>C008</x:v>
      </x:c>
      <x:c r="B9" s="3" t="str">
        <x:v>Intel</x:v>
      </x:c>
      <x:c r="C9" s="3" t="str">
        <x:v>硬件与平台</x:v>
      </x:c>
      <x:c r="D9" s="3" t="str">
        <x:v>Loihi2、Lava、Hala Point</x:v>
      </x:c>
      <x:c r="E9" s="3" t="str">
        <x:v>官方核实Hala Point使用1152颗Loihi2并部署Sandia研究</x:v>
      </x:c>
      <x:c r="F9" s="3" t="str">
        <x:v>研究平台；本轮未获得足够官方证据确认Loihi3量产</x:v>
      </x:c>
      <x:c r="G9" s="3" t="str">
        <x:v>官网或机构证据；详见主报告</x:v>
      </x:c>
      <x:c r="H9" s="3" t="str">
        <x:v>https://www.intc.com/news-events/press-releases/detail/1691/intel-builds-worlds-largest-neuromorphic-system-to</x:v>
      </x:c>
      <x:c r="I9" s="4" t="n">
        <x:v>46297</x:v>
      </x:c>
      <x:c r="J9" s="2"/>
      <x:c r="K9" s="2"/>
      <x:c r="L9" s="2"/>
      <x:c r="M9" s="2"/>
      <x:c r="N9" s="2"/>
      <x:c r="O9" s="2"/>
    </x:row>
    <x:row r="10" ht="70"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n">
        <x:v>46297</x:v>
      </x:c>
      <x:c r="J10" s="2"/>
      <x:c r="K10" s="2"/>
      <x:c r="L10" s="2"/>
      <x:c r="M10" s="2"/>
      <x:c r="N10" s="2"/>
      <x:c r="O10" s="2"/>
    </x:row>
    <x:row r="11" ht="70"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n">
        <x:v>46297</x:v>
      </x:c>
      <x:c r="J11" s="2"/>
      <x:c r="K11" s="2"/>
      <x:c r="L11" s="2"/>
      <x:c r="M11" s="2"/>
      <x:c r="N11" s="2"/>
      <x:c r="O11" s="2"/>
    </x:row>
    <x:row r="12" ht="70" customHeight="1">
      <x:c r="A12" s="3" t="str">
        <x:v>C011</x:v>
      </x:c>
      <x:c r="B12" s="3" t="str">
        <x:v>维泛智能</x:v>
      </x:c>
      <x:c r="C12" s="3" t="str">
        <x:v>硬件与平台</x:v>
      </x:c>
      <x:c r="D12" s="3" t="str">
        <x:v>BiGPU，GPU与BPU双模同构；具身大小脑芯片、BrainOS、OmniRT</x:v>
      </x:c>
      <x:c r="E12" s="3" t="str">
        <x:v>PAICORE 2.5测试芯片回片并完成原型板首测；北京日报客户端2026-08-24报道团队在机器人赛事中使用自研OmniRT，6月与乐聚签署芯片适配等战略合作</x:v>
      </x:c>
      <x:c r="F12" s="3" t="str">
        <x:v>证明工程工具存在和协同验证，不等于量产或付费。2027年二季度投产仍是计划；9月外部开放、客户付费与正式规格未知</x:v>
      </x:c>
      <x:c r="G12" s="3" t="str">
        <x:v>北大、北京日报客户端与中国机器人产业发展联盟；公司技术／合作口径，检索2026-10-02</x:v>
      </x:c>
      <x:c r="H12" s="3" t="str">
        <x:v>https://news.bjd.com.cn/2026/08/24/90070084.shtml</x:v>
      </x:c>
      <x:c r="I12" s="4" t="n">
        <x:v>46297</x:v>
      </x:c>
      <x:c r="J12" s="2"/>
      <x:c r="K12" s="2"/>
      <x:c r="L12" s="2"/>
      <x:c r="M12" s="2"/>
      <x:c r="N12" s="2"/>
      <x:c r="O12" s="2"/>
    </x:row>
    <x:row r="13" ht="70"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n">
        <x:v>46297</x:v>
      </x:c>
      <x:c r="J13" s="2"/>
      <x:c r="K13" s="2"/>
      <x:c r="L13" s="2"/>
      <x:c r="M13" s="2"/>
      <x:c r="N13" s="2"/>
      <x:c r="O13" s="2"/>
    </x:row>
    <x:row r="14" ht="70"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n">
        <x:v>46297</x:v>
      </x:c>
      <x:c r="J14" s="2"/>
      <x:c r="K14" s="2"/>
      <x:c r="L14" s="2"/>
      <x:c r="M14" s="2"/>
      <x:c r="N14" s="2"/>
      <x:c r="O14" s="2"/>
    </x:row>
    <x:row r="15" ht="70"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n">
        <x:v>46297</x:v>
      </x:c>
      <x:c r="J15" s="2"/>
      <x:c r="K15" s="2"/>
      <x:c r="L15" s="2"/>
      <x:c r="M15" s="2"/>
      <x:c r="N15" s="2"/>
      <x:c r="O15" s="2"/>
    </x:row>
    <x:row r="16" ht="70"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n">
        <x:v>46297</x:v>
      </x:c>
      <x:c r="J16" s="2"/>
      <x:c r="K16" s="2"/>
      <x:c r="L16" s="2"/>
      <x:c r="M16" s="2"/>
      <x:c r="N16" s="2"/>
      <x:c r="O16" s="2"/>
    </x:row>
    <x:row r="17" ht="70"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n">
        <x:v>46297</x:v>
      </x:c>
      <x:c r="J17" s="2"/>
      <x:c r="K17" s="2"/>
      <x:c r="L17" s="2"/>
      <x:c r="M17" s="2"/>
      <x:c r="N17" s="2"/>
      <x:c r="O17" s="2"/>
    </x:row>
    <x:row r="18" ht="70"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n">
        <x:v>46297</x:v>
      </x:c>
      <x:c r="J18" s="2"/>
      <x:c r="K18" s="2"/>
      <x:c r="L18" s="2"/>
      <x:c r="M18" s="2"/>
      <x:c r="N18" s="2"/>
      <x:c r="O18" s="2"/>
    </x:row>
    <x:row r="19" ht="70"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n">
        <x:v>46297</x:v>
      </x:c>
      <x:c r="J19" s="2"/>
      <x:c r="K19" s="2"/>
      <x:c r="L19" s="2"/>
      <x:c r="M19" s="2"/>
      <x:c r="N19" s="2"/>
      <x:c r="O19" s="2"/>
    </x:row>
    <x:row r="20" ht="70"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n">
        <x:v>46297</x:v>
      </x:c>
      <x:c r="J20" s="2"/>
      <x:c r="K20" s="2"/>
      <x:c r="L20" s="2"/>
      <x:c r="M20" s="2"/>
      <x:c r="N20" s="2"/>
      <x:c r="O20" s="2"/>
    </x:row>
    <x:row r="21" ht="70"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n">
        <x:v>46297</x:v>
      </x:c>
      <x:c r="J21" s="2"/>
      <x:c r="K21" s="2"/>
      <x:c r="L21" s="2"/>
      <x:c r="M21" s="2"/>
      <x:c r="N21" s="2"/>
      <x:c r="O21" s="2"/>
    </x:row>
    <x:row r="22" ht="70"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n">
        <x:v>46297</x:v>
      </x:c>
      <x:c r="J22" s="2"/>
      <x:c r="K22" s="2"/>
      <x:c r="L22" s="2"/>
      <x:c r="M22" s="2"/>
      <x:c r="N22" s="2"/>
      <x:c r="O22" s="2"/>
    </x:row>
    <x:row r="23" ht="70"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n">
        <x:v>46297</x:v>
      </x:c>
      <x:c r="J23" s="2"/>
      <x:c r="K23" s="2"/>
      <x:c r="L23" s="2"/>
      <x:c r="M23" s="2"/>
      <x:c r="N23" s="2"/>
      <x:c r="O23" s="2"/>
    </x:row>
    <x:row r="24" ht="70"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n">
        <x:v>46297</x:v>
      </x:c>
      <x:c r="J24" s="2"/>
      <x:c r="K24" s="2"/>
      <x:c r="L24" s="2"/>
      <x:c r="M24" s="2"/>
      <x:c r="N24" s="2"/>
      <x:c r="O24" s="2"/>
    </x:row>
    <x:row r="25" ht="70"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n">
        <x:v>46297</x:v>
      </x:c>
      <x:c r="J25" s="2"/>
      <x:c r="K25" s="2"/>
      <x:c r="L25" s="2"/>
      <x:c r="M25" s="2"/>
      <x:c r="N25" s="2"/>
      <x:c r="O25" s="2"/>
    </x:row>
    <x:row r="26" ht="70"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n">
        <x:v>46297</x:v>
      </x:c>
      <x:c r="J26" s="2"/>
      <x:c r="K26" s="2"/>
      <x:c r="L26" s="2"/>
      <x:c r="M26" s="2"/>
      <x:c r="N26" s="2"/>
      <x:c r="O26" s="2"/>
    </x:row>
    <x:row r="27" ht="70"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n">
        <x:v>46297</x:v>
      </x:c>
      <x:c r="J27" s="2"/>
      <x:c r="K27" s="2"/>
      <x:c r="L27" s="2"/>
      <x:c r="M27" s="2"/>
      <x:c r="N27" s="2"/>
      <x:c r="O27" s="2"/>
    </x:row>
    <x:row r="28" ht="70" customHeight="1">
      <x:c r="A28" s="3" t="str">
        <x:v>C027</x:v>
      </x:c>
      <x:c r="B28" s="3" t="str">
        <x:v>Mythic</x:v>
      </x:c>
      <x:c r="C28" s="3" t="str">
        <x:v>相邻替代</x:v>
      </x:c>
      <x:c r="D28" s="3" t="str">
        <x:v>M1模拟CIM APU；未来Vanguard混合路线；Videantis数字处理IP</x:v>
      </x:c>
      <x:c r="E28" s="3" t="str">
        <x:v>M1官网提供评估入口；本田2026-02-04称已投资并联合开发车载SoC；Mythic 2026-05-19完成收购Videantis</x:v>
      </x:c>
      <x:c r="F28" s="3" t="str">
        <x:v>Honda项目是未来联合开发，不是当前量产定点；Videantis逾2500万颗芯片装机属于数字IP，不能追溯为Mythic模拟APU出货</x:v>
      </x:c>
      <x:c r="G28" s="3" t="str">
        <x:v>本田官方、Mythic M1与收购公告，检索2026-10-02</x:v>
      </x:c>
      <x:c r="H28" s="3" t="str">
        <x:v>https://global.honda/en/topics/2026/c_2026-02-04eng.html</x:v>
      </x:c>
      <x:c r="I28" s="4" t="n">
        <x:v>46297</x:v>
      </x:c>
      <x:c r="J28" s="2"/>
      <x:c r="K28" s="2"/>
      <x:c r="L28" s="2"/>
      <x:c r="M28" s="2"/>
      <x:c r="N28" s="2"/>
      <x:c r="O28" s="2"/>
    </x:row>
    <x:row r="29" ht="70"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n">
        <x:v>46297</x:v>
      </x:c>
      <x:c r="J29" s="2"/>
      <x:c r="K29" s="2"/>
      <x:c r="L29" s="2"/>
      <x:c r="M29" s="2"/>
      <x:c r="N29" s="2"/>
      <x:c r="O29" s="2"/>
    </x:row>
    <x:row r="30" ht="70"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n">
        <x:v>46297</x:v>
      </x:c>
      <x:c r="J30" s="2"/>
      <x:c r="K30" s="2"/>
      <x:c r="L30" s="2"/>
      <x:c r="M30" s="2"/>
      <x:c r="N30" s="2"/>
      <x:c r="O30" s="2"/>
    </x:row>
    <x:row r="31" ht="70" customHeight="1">
      <x:c r="A31" s="2" t="str">
        <x:v>C030</x:v>
      </x:c>
      <x:c r="B31" s="2" t="str">
        <x:v>STMicroelectronics</x:v>
      </x:c>
      <x:c r="C31" s="2" t="str">
        <x:v>相邻替代</x:v>
      </x:c>
      <x:c r="D31" s="2" t="str">
        <x:v>STM32N6 Cortex-M55 MCU＋Neural-ART NPU；STM32Cube AI Studio与N6开发板</x:v>
      </x:c>
      <x:c r="E31" s="2" t="str">
        <x:v>STM32N657X0量产SKU与STM32N6570-DK／NUCLEO开发板已有官方Active、量产及直接购买入口；NPU工具按算子映射，未支持算子回退CPU</x:v>
      </x:c>
      <x:c r="F31" s="2" t="str">
        <x:v>官方页面检索时未显示经销商库存，ST直购入口存在；量产状态不等于类脑任务设计定点。工具证据聚焦推理，未见权重在线更新；厂商600 GOPS不能与SNN事件任务直接排名</x:v>
      </x:c>
      <x:c r="G31" s="2" t="str">
        <x:v>ST官方芯片、开发板、AI工具与部署教程；产品状态和购买入口为事实，性能为厂商口径</x:v>
      </x:c>
      <x:c r="H31" s="2" t="str">
        <x:v>https://www.st.com/en/evaluation-tools/stm32n6570-dk.html</x:v>
      </x:c>
      <x:c r="I31" s="11" t="n">
        <x:v>46297</x:v>
      </x:c>
      <x:c r="J31" s="2"/>
      <x:c r="K31" s="2"/>
      <x:c r="L31" s="2"/>
      <x:c r="M31" s="2"/>
      <x:c r="N31" s="2"/>
      <x:c r="O31" s="2"/>
    </x:row>
    <x:row r="32" ht="70" customHeight="1">
      <x:c r="A32" s="2" t="str">
        <x:v>C031</x:v>
      </x:c>
      <x:c r="B32" s="2" t="str">
        <x:v>NXP</x:v>
      </x:c>
      <x:c r="C32" s="2" t="str">
        <x:v>相邻替代</x:v>
      </x:c>
      <x:c r="D32" s="2" t="str">
        <x:v>i.MX RT700双Cortex-M33＋HiFi DSP＋eIQ Neutron NPU；MCUXpresso</x:v>
      </x:c>
      <x:c r="E32" s="2" t="str">
        <x:v>MIMXRT700-EVK官方状态Active，10月2日页面显示2套现货、187.23美元并可下单；NXP已发布NPU编译与门铃、摄像头、手表等参考应用</x:v>
      </x:c>
      <x:c r="F32" s="2" t="str">
        <x:v>开发板现货和完整文档不证明终端量产或收入；公开材料聚焦量化模型编译与推理，未见本地权重更新。厂商加速倍数不能跨任务横比</x:v>
      </x:c>
      <x:c r="G32" s="2" t="str">
        <x:v>NXP官方EVK商品页、RT700产品页与AN14700；库存、价格为检索时快照</x:v>
      </x:c>
      <x:c r="H32" s="2" t="str">
        <x:v>https://www.nxp.com/design/design-center/software/development-software/mcuxpresso-software-and-tools-/i-mx-rt700-evaluation-kit:MIMXRT700-EVK</x:v>
      </x:c>
      <x:c r="I32" s="11" t="n">
        <x:v>46297</x:v>
      </x:c>
      <x:c r="J32" s="2"/>
      <x:c r="K32" s="2"/>
      <x:c r="L32" s="2"/>
      <x:c r="M32" s="2"/>
      <x:c r="N32" s="2"/>
      <x:c r="O32" s="2"/>
    </x:row>
    <x:row r="33" ht="70" customHeight="1">
      <x:c r="A33" s="2" t="str">
        <x:v>C032</x:v>
      </x:c>
      <x:c r="B33" s="2" t="str">
        <x:v>Synaptics</x:v>
      </x:c>
      <x:c r="C33" s="2" t="str">
        <x:v>相邻替代</x:v>
      </x:c>
      <x:c r="D33" s="2" t="str">
        <x:v>Astra SL2610多模态IoT处理器；Torq T1／Coral NPU；Astra Machina开发套件</x:v>
      </x:c>
      <x:c r="E33" s="2" t="str">
        <x:v>SL2610开发套件官网已给出Mouser、DigiKey和Codico购买入口，并提供2026年用户指南、数据表与视觉／语音／LLM NPU教程；Torq基于开源IREE／MLIR</x:v>
      </x:c>
      <x:c r="F33" s="2" t="str">
        <x:v>购买入口不等于库存与终端量产；2025公告中的Q2 2026 GA计划不能替代当前芯片出货量。公开教程是推理工作流，未见片上在线学习或具名付费客户规模</x:v>
      </x:c>
      <x:c r="G33" s="2" t="str">
        <x:v>Synaptics官方产品、开发者文档与分销入口；伙伴引述不作为销量证据</x:v>
      </x:c>
      <x:c r="H33" s="2" t="str">
        <x:v>https://www.synaptics.com/products/embedded-processors/sl2610-product-line</x:v>
      </x:c>
      <x:c r="I33" s="11" t="n">
        <x:v>46297</x:v>
      </x:c>
      <x:c r="J33" s="2"/>
      <x:c r="K33" s="2"/>
      <x:c r="L33" s="2"/>
      <x:c r="M33" s="2"/>
      <x:c r="N33" s="2"/>
      <x:c r="O33" s="2"/>
    </x:row>
    <x:row r="34" ht="70" customHeight="1">
      <x:c r="A34" s="2" t="str">
        <x:v>C033</x:v>
      </x:c>
      <x:c r="B34" s="2" t="str">
        <x:v>Hailo</x:v>
      </x:c>
      <x:c r="C34" s="2" t="str">
        <x:v>相邻替代</x:v>
      </x:c>
      <x:c r="D34" s="2" t="str">
        <x:v>Hailo-10H离散数据流AI加速器与M.2模块；视觉、LLM与VLM本地推理</x:v>
      </x:c>
      <x:c r="E34" s="2" t="str">
        <x:v>Hailo于2025年7月22日宣布Hailo-10H商业可用并接受全球订单；当前官网商店和区域经销页面仍列M.2模块，产品简报给出40／20 TOPS（INT4／8）与典型2.5W</x:v>
      </x:c>
      <x:c r="F34" s="2" t="str">
        <x:v>可下单和厂商基准不等于终端设计定点、销量或收入；汽车2026 SOP是目标。公开资料聚焦推理，未见本地权重更新；功耗指标不与不同模型和系统边界横比</x:v>
      </x:c>
      <x:c r="G34" s="2" t="str">
        <x:v>Hailo官方GA公告、产品简报与商店；性能、功耗和用户数均为厂商口径</x:v>
      </x:c>
      <x:c r="H34" s="2" t="str">
        <x:v>https://hailo.ai/company-overview/newsroom/news/hailo-announces-general-availability-of-hailo-10h-edge-ai-accelerator-with-generative-ai-capabilities/</x:v>
      </x:c>
      <x:c r="I34" s="11" t="n">
        <x:v>46297</x:v>
      </x:c>
      <x:c r="J34" s="2"/>
      <x:c r="K34" s="2"/>
      <x:c r="L34" s="2"/>
      <x:c r="M34" s="2"/>
      <x:c r="N34" s="2"/>
      <x:c r="O34" s="2"/>
    </x:row>
    <x:row r="35" ht="70"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n">
        <x:v>46297</x:v>
      </x:c>
      <x:c r="J35" s="2"/>
      <x:c r="K35" s="2"/>
      <x:c r="L35" s="2"/>
      <x:c r="M35" s="2"/>
      <x:c r="N35" s="2"/>
      <x:c r="O35" s="2"/>
    </x:row>
    <x:row r="36" ht="70"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n">
        <x:v>46297</x:v>
      </x:c>
      <x:c r="J36" s="2"/>
      <x:c r="K36" s="2"/>
      <x:c r="L36" s="2"/>
      <x:c r="M36" s="2"/>
      <x:c r="N36" s="2"/>
      <x:c r="O36" s="2"/>
    </x:row>
    <x:row r="37" ht="92" customHeight="1">
      <x:c r="A37" s="3"/>
      <x:c r="B37" s="3"/>
      <x:c r="C37" s="3"/>
      <x:c r="D37" s="3"/>
      <x:c r="E37" s="3"/>
      <x:c r="F37" s="3"/>
      <x:c r="G37" s="3"/>
      <x:c r="H37" s="3"/>
      <x:c r="I37" s="3"/>
      <x:c r="J37" s="2"/>
      <x:c r="K37" s="2"/>
      <x:c r="L37" s="2"/>
      <x:c r="M37" s="2"/>
      <x:c r="N37" s="2"/>
      <x:c r="O37" s="2"/>
    </x:row>
    <x:row r="38" ht="92" customHeight="1">
      <x:c r="A38" s="3"/>
      <x:c r="B38" s="3"/>
      <x:c r="C38" s="3"/>
      <x:c r="D38" s="3"/>
      <x:c r="E38" s="3"/>
      <x:c r="F38" s="3"/>
      <x:c r="G38" s="3"/>
      <x:c r="H38" s="3"/>
      <x:c r="I38" s="3"/>
      <x:c r="J38" s="2"/>
      <x:c r="K38" s="2"/>
      <x:c r="L38" s="2"/>
      <x:c r="M38" s="2"/>
      <x:c r="N38" s="2"/>
      <x:c r="O38" s="2"/>
    </x:row>
    <x:row r="39" ht="92" customHeight="1">
      <x:c r="A39" s="3"/>
      <x:c r="B39" s="3"/>
      <x:c r="C39" s="3"/>
      <x:c r="D39" s="3"/>
      <x:c r="E39" s="3"/>
      <x:c r="F39" s="3"/>
      <x:c r="G39" s="3"/>
      <x:c r="H39" s="3"/>
      <x:c r="I39" s="3"/>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7464c35a04c24002"/>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4" customHeight="1">
      <x:c r="A2" s="3" t="str">
        <x:v>P001</x:v>
      </x:c>
      <x:c r="B2" s="3" t="str">
        <x:v>BrainChip</x:v>
      </x:c>
      <x:c r="C2" s="3" t="str">
        <x:v>AKD1500模块与开发板</x:v>
      </x:c>
      <x:c r="D2" s="3" t="str">
        <x:v>可采购硬件</x:v>
      </x:c>
      <x:c r="E2" s="3" t="str">
        <x:v>公开商品入口</x:v>
      </x:c>
      <x:c r="F2" s="4" t="n">
        <x:v>46282</x:v>
      </x:c>
      <x:c r="G2" s="4"/>
      <x:c r="H2" s="4" t="n">
        <x:v>46297</x:v>
      </x:c>
      <x:c r="I2" s="3" t="str">
        <x:v>终端量产、客户数量和独立收入未知</x:v>
      </x:c>
      <x:c r="J2" s="3" t="str">
        <x:v>https://investor.brainchip.com/press/brainchip-launches-akd1500-pcie-card-for-edge-ai-evaluation-everywhere/</x:v>
      </x:c>
      <x:c r="K2" s="2"/>
      <x:c r="L2" s="2"/>
      <x:c r="M2" s="2"/>
      <x:c r="N2" s="2"/>
      <x:c r="O2" s="2"/>
    </x:row>
    <x:row r="3" ht="64" customHeight="1">
      <x:c r="A3" s="3" t="str">
        <x:v>P002</x:v>
      </x:c>
      <x:c r="B3" s="3" t="str">
        <x:v>Innatera</x:v>
      </x:c>
      <x:c r="C3" s="3" t="str">
        <x:v>Pulsar／Joya EdgeCore</x:v>
      </x:c>
      <x:c r="D3" s="3" t="str">
        <x:v>客户评估／模块</x:v>
      </x:c>
      <x:c r="E3" s="3" t="str">
        <x:v>具名客户模块公告</x:v>
      </x:c>
      <x:c r="F3" s="4" t="n">
        <x:v>46107</x:v>
      </x:c>
      <x:c r="G3" s="4"/>
      <x:c r="H3" s="4" t="n">
        <x:v>46297</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4" customHeight="1">
      <x:c r="A4" s="3" t="str">
        <x:v>P003</x:v>
      </x:c>
      <x:c r="B4" s="3" t="str">
        <x:v>SynSense</x:v>
      </x:c>
      <x:c r="C4" s="3" t="str">
        <x:v>Speck</x:v>
      </x:c>
      <x:c r="D4" s="3" t="str">
        <x:v>开发平台</x:v>
      </x:c>
      <x:c r="E4" s="3" t="str">
        <x:v>官方开发资料</x:v>
      </x:c>
      <x:c r="F4" s="4"/>
      <x:c r="G4" s="4"/>
      <x:c r="H4" s="4" t="n">
        <x:v>46297</x:v>
      </x:c>
      <x:c r="I4" s="3" t="str">
        <x:v>当前公开库存未核</x:v>
      </x:c>
      <x:c r="J4" s="3" t="str">
        <x:v>https://www.synsense.ai/products/speck-2/</x:v>
      </x:c>
      <x:c r="K4" s="2"/>
      <x:c r="L4" s="2"/>
      <x:c r="M4" s="2"/>
      <x:c r="N4" s="2"/>
      <x:c r="O4" s="2"/>
    </x:row>
    <x:row r="5" ht="64" customHeight="1">
      <x:c r="A5" s="3" t="str">
        <x:v>P004</x:v>
      </x:c>
      <x:c r="B5" s="3" t="str">
        <x:v>SynSense</x:v>
      </x:c>
      <x:c r="C5" s="3" t="str">
        <x:v>Aeveon</x:v>
      </x:c>
      <x:c r="D5" s="3" t="str">
        <x:v>方案／研发</x:v>
      </x:c>
      <x:c r="E5" s="3" t="str">
        <x:v>公司发布与销售联系</x:v>
      </x:c>
      <x:c r="F5" s="4" t="n">
        <x:v>46197</x:v>
      </x:c>
      <x:c r="G5" s="4"/>
      <x:c r="H5" s="4" t="n">
        <x:v>46297</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4" customHeight="1">
      <x:c r="A6" s="3" t="str">
        <x:v>P005</x:v>
      </x:c>
      <x:c r="B6" s="3" t="str">
        <x:v>iniVation</x:v>
      </x:c>
      <x:c r="C6" s="3" t="str">
        <x:v>DVXplorer／DAVIS346</x:v>
      </x:c>
      <x:c r="D6" s="3" t="str">
        <x:v>可采购硬件</x:v>
      </x:c>
      <x:c r="E6" s="3" t="str">
        <x:v>官方商店</x:v>
      </x:c>
      <x:c r="F6" s="4"/>
      <x:c r="G6" s="4"/>
      <x:c r="H6" s="4" t="n">
        <x:v>46297</x:v>
      </x:c>
      <x:c r="I6" s="3" t="str">
        <x:v>开发相机可买不等于终端量产</x:v>
      </x:c>
      <x:c r="J6" s="3" t="str">
        <x:v>https://shop.inivation.com/</x:v>
      </x:c>
      <x:c r="K6" s="2"/>
      <x:c r="L6" s="2"/>
      <x:c r="M6" s="2"/>
      <x:c r="N6" s="2"/>
      <x:c r="O6" s="2"/>
    </x:row>
    <x:row r="7" ht="64" customHeight="1">
      <x:c r="A7" s="3" t="str">
        <x:v>P006</x:v>
      </x:c>
      <x:c r="B7" s="3" t="str">
        <x:v>Prophesee／Sony生态</x:v>
      </x:c>
      <x:c r="C7" s="3" t="str">
        <x:v>IMX636伙伴相机</x:v>
      </x:c>
      <x:c r="D7" s="3" t="str">
        <x:v>可采购硬件</x:v>
      </x:c>
      <x:c r="E7" s="3" t="str">
        <x:v>伙伴商品与生命周期页</x:v>
      </x:c>
      <x:c r="F7" s="4"/>
      <x:c r="G7" s="4"/>
      <x:c r="H7" s="4" t="n">
        <x:v>46297</x:v>
      </x:c>
      <x:c r="I7" s="3" t="str">
        <x:v>伙伴相机销售不能计作传感器收入</x:v>
      </x:c>
      <x:c r="J7" s="3" t="str">
        <x:v>https://en.ids-imaging.com/store/ueye-xcp-e.html</x:v>
      </x:c>
      <x:c r="K7" s="2"/>
      <x:c r="L7" s="2"/>
      <x:c r="M7" s="2"/>
      <x:c r="N7" s="2"/>
      <x:c r="O7" s="2"/>
    </x:row>
    <x:row r="8" ht="64" customHeight="1">
      <x:c r="A8" s="3" t="str">
        <x:v>P007</x:v>
      </x:c>
      <x:c r="B8" s="3" t="str">
        <x:v>Prophesee</x:v>
      </x:c>
      <x:c r="C8" s="3" t="str">
        <x:v>Mantara</x:v>
      </x:c>
      <x:c r="D8" s="3" t="str">
        <x:v>客户评估／模块</x:v>
      </x:c>
      <x:c r="E8" s="3" t="str">
        <x:v>厂商现场验证声明</x:v>
      </x:c>
      <x:c r="F8" s="4" t="n">
        <x:v>46188</x:v>
      </x:c>
      <x:c r="G8" s="4"/>
      <x:c r="H8" s="4" t="n">
        <x:v>46297</x:v>
      </x:c>
      <x:c r="I8" s="3" t="str">
        <x:v>未见具名采购与部署数量</x:v>
      </x:c>
      <x:c r="J8" s="3" t="str">
        <x:v>https://www.prophesee.ai/2026/06/15/prophesee-launches-mantara-event-based-drone-detection/</x:v>
      </x:c>
      <x:c r="K8" s="2"/>
      <x:c r="L8" s="2"/>
      <x:c r="M8" s="2"/>
      <x:c r="N8" s="2"/>
      <x:c r="O8" s="2"/>
    </x:row>
    <x:row r="9" ht="64" customHeight="1">
      <x:c r="A9" s="3" t="str">
        <x:v>P008</x:v>
      </x:c>
      <x:c r="B9" s="3" t="str">
        <x:v>POLYN</x:v>
      </x:c>
      <x:c r="C9" s="3" t="str">
        <x:v>VibroSense TMS</x:v>
      </x:c>
      <x:c r="D9" s="3" t="str">
        <x:v>客户评估／模块</x:v>
      </x:c>
      <x:c r="E9" s="3" t="str">
        <x:v>公司工程节点评估公告</x:v>
      </x:c>
      <x:c r="F9" s="4" t="n">
        <x:v>46293</x:v>
      </x:c>
      <x:c r="G9" s="4"/>
      <x:c r="H9" s="4" t="n">
        <x:v>46297</x:v>
      </x:c>
      <x:c r="I9" s="3" t="str">
        <x:v>仍为工程芯片，非量产</x:v>
      </x:c>
      <x:c r="J9" s="3" t="str">
        <x:v>https://polyn.ai/polyn-delivers-first-vibrosense-tms-engineering-sensor-nodes-for-customer-evaluation/</x:v>
      </x:c>
      <x:c r="K9" s="2"/>
      <x:c r="L9" s="2"/>
      <x:c r="M9" s="2"/>
      <x:c r="N9" s="2"/>
      <x:c r="O9" s="2"/>
    </x:row>
    <x:row r="10" ht="64" customHeight="1">
      <x:c r="A10" s="3" t="str">
        <x:v>P009</x:v>
      </x:c>
      <x:c r="B10" s="3" t="str">
        <x:v>POLYN</x:v>
      </x:c>
      <x:c r="C10" s="3" t="str">
        <x:v>VibroSense IIOT</x:v>
      </x:c>
      <x:c r="D10" s="3" t="str">
        <x:v>研究／原型</x:v>
      </x:c>
      <x:c r="E10" s="3" t="str">
        <x:v>公司项目状态</x:v>
      </x:c>
      <x:c r="F10" s="4"/>
      <x:c r="G10" s="4"/>
      <x:c r="H10" s="4" t="n">
        <x:v>46297</x:v>
      </x:c>
      <x:c r="I10" s="3" t="str">
        <x:v>仿真原型，商务暂停</x:v>
      </x:c>
      <x:c r="J10" s="3" t="str">
        <x:v>https://polyn.ai/content/how-much-vibration-data-must-a-maintenance-sensor-node-move</x:v>
      </x:c>
      <x:c r="K10" s="2"/>
      <x:c r="L10" s="2"/>
      <x:c r="M10" s="2"/>
      <x:c r="N10" s="2"/>
      <x:c r="O10" s="2"/>
    </x:row>
    <x:row r="11" ht="64" customHeight="1">
      <x:c r="A11" s="3" t="str">
        <x:v>P010</x:v>
      </x:c>
      <x:c r="B11" s="3" t="str">
        <x:v>Blumind</x:v>
      </x:c>
      <x:c r="C11" s="3" t="str">
        <x:v>BM110／BM210／AMPL</x:v>
      </x:c>
      <x:c r="D11" s="3" t="str">
        <x:v>IP／商务接洽</x:v>
      </x:c>
      <x:c r="E11" s="3" t="str">
        <x:v>官网硅验证与联系式获取</x:v>
      </x:c>
      <x:c r="F11" s="4"/>
      <x:c r="G11" s="4"/>
      <x:c r="H11" s="4" t="n">
        <x:v>46297</x:v>
      </x:c>
      <x:c r="I11" s="3" t="str">
        <x:v>数据表、库存、客户及收入未知</x:v>
      </x:c>
      <x:c r="J11" s="3" t="str">
        <x:v>https://blumind.ai/products/</x:v>
      </x:c>
      <x:c r="K11" s="2"/>
      <x:c r="L11" s="2"/>
      <x:c r="M11" s="2"/>
      <x:c r="N11" s="2"/>
      <x:c r="O11" s="2"/>
    </x:row>
    <x:row r="12" ht="64" customHeight="1">
      <x:c r="A12" s="3" t="str">
        <x:v>P011</x:v>
      </x:c>
      <x:c r="B12" s="3" t="str">
        <x:v>Aspinity</x:v>
      </x:c>
      <x:c r="C12" s="3" t="str">
        <x:v>AML100</x:v>
      </x:c>
      <x:c r="D12" s="3" t="str">
        <x:v>生产／部署声明</x:v>
      </x:c>
      <x:c r="E12" s="3" t="str">
        <x:v>公司生产IC声明</x:v>
      </x:c>
      <x:c r="F12" s="4"/>
      <x:c r="G12" s="4"/>
      <x:c r="H12" s="4" t="n">
        <x:v>46297</x:v>
      </x:c>
      <x:c r="I12" s="3" t="str">
        <x:v>客户、数量和收入未知</x:v>
      </x:c>
      <x:c r="J12" s="3" t="str">
        <x:v>https://www.aspinity.com/products.html</x:v>
      </x:c>
      <x:c r="K12" s="2"/>
      <x:c r="L12" s="2"/>
      <x:c r="M12" s="2"/>
      <x:c r="N12" s="2"/>
      <x:c r="O12" s="2"/>
    </x:row>
    <x:row r="13" ht="64" customHeight="1">
      <x:c r="A13" s="3" t="str">
        <x:v>P012</x:v>
      </x:c>
      <x:c r="B13" s="3" t="str">
        <x:v>Aspinity</x:v>
      </x:c>
      <x:c r="C13" s="3" t="str">
        <x:v>AML200</x:v>
      </x:c>
      <x:c r="D13" s="3" t="str">
        <x:v>工程样片</x:v>
      </x:c>
      <x:c r="E13" s="3" t="str">
        <x:v>公司测试芯片验证</x:v>
      </x:c>
      <x:c r="F13" s="4"/>
      <x:c r="G13" s="4"/>
      <x:c r="H13" s="4" t="n">
        <x:v>46297</x:v>
      </x:c>
      <x:c r="I13" s="3" t="str">
        <x:v>开发中，不能归为量产</x:v>
      </x:c>
      <x:c r="J13" s="3" t="str">
        <x:v>https://www.aspinity.com/products.html</x:v>
      </x:c>
      <x:c r="K13" s="2"/>
      <x:c r="L13" s="2"/>
      <x:c r="M13" s="2"/>
      <x:c r="N13" s="2"/>
      <x:c r="O13" s="2"/>
    </x:row>
    <x:row r="14" ht="64" customHeight="1">
      <x:c r="A14" s="3" t="str">
        <x:v>P013</x:v>
      </x:c>
      <x:c r="B14" s="3" t="str">
        <x:v>Mythic</x:v>
      </x:c>
      <x:c r="C14" s="3" t="str">
        <x:v>M1</x:v>
      </x:c>
      <x:c r="D14" s="3" t="str">
        <x:v>客户评估／模块</x:v>
      </x:c>
      <x:c r="E14" s="3" t="str">
        <x:v>公司立即评估入口</x:v>
      </x:c>
      <x:c r="F14" s="4"/>
      <x:c r="G14" s="4"/>
      <x:c r="H14" s="4" t="n">
        <x:v>46297</x:v>
      </x:c>
      <x:c r="I14" s="3" t="str">
        <x:v>现货、价格和量产客户未知</x:v>
      </x:c>
      <x:c r="J14" s="3" t="str">
        <x:v>https://www.mythic.ai/m-1</x:v>
      </x:c>
      <x:c r="K14" s="2"/>
      <x:c r="L14" s="2"/>
      <x:c r="M14" s="2"/>
      <x:c r="N14" s="2"/>
      <x:c r="O14" s="2"/>
    </x:row>
    <x:row r="15" ht="64" customHeight="1">
      <x:c r="A15" s="3" t="str">
        <x:v>P014</x:v>
      </x:c>
      <x:c r="B15" s="3" t="str">
        <x:v>MemryX</x:v>
      </x:c>
      <x:c r="C15" s="3" t="str">
        <x:v>MX3／Cascade</x:v>
      </x:c>
      <x:c r="D15" s="3" t="str">
        <x:v>生产／部署声明</x:v>
      </x:c>
      <x:c r="E15" s="3" t="str">
        <x:v>具名生产线部署联合稿</x:v>
      </x:c>
      <x:c r="F15" s="4" t="n">
        <x:v>46265</x:v>
      </x:c>
      <x:c r="G15" s="4"/>
      <x:c r="H15" s="4" t="n">
        <x:v>46297</x:v>
      </x:c>
      <x:c r="I15" s="3" t="str">
        <x:v>合同金额、数量与收入未知</x:v>
      </x:c>
      <x:c r="J15" s="3" t="str">
        <x:v>https://memryx.ai/news/express-luck-selects-memryx-for-ai-enabled-smart-manufacturing-operations/</x:v>
      </x:c>
      <x:c r="K15" s="2"/>
      <x:c r="L15" s="2"/>
      <x:c r="M15" s="2"/>
      <x:c r="N15" s="2"/>
      <x:c r="O15" s="2"/>
    </x:row>
    <x:row r="16" ht="64" customHeight="1">
      <x:c r="A16" s="3" t="str">
        <x:v>P015</x:v>
      </x:c>
      <x:c r="B16" s="3" t="str">
        <x:v>Synthara</x:v>
      </x:c>
      <x:c r="C16" s="3" t="str">
        <x:v>ComputeRAM</x:v>
      </x:c>
      <x:c r="D16" s="3" t="str">
        <x:v>IP／商务接洽</x:v>
      </x:c>
      <x:c r="E16" s="3" t="str">
        <x:v>官方硅验证IP资料</x:v>
      </x:c>
      <x:c r="F16" s="4"/>
      <x:c r="G16" s="4"/>
      <x:c r="H16" s="4" t="n">
        <x:v>46297</x:v>
      </x:c>
      <x:c r="I16" s="3" t="str">
        <x:v>公开SDK、封装芯片和design win未核</x:v>
      </x:c>
      <x:c r="J16" s="3" t="str">
        <x:v>https://synthara.ai/wp-content/uploads/2025/03/EW-version-Leaflet-Trifolds.pdf</x:v>
      </x:c>
      <x:c r="K16" s="2"/>
      <x:c r="L16" s="2"/>
      <x:c r="M16" s="2"/>
      <x:c r="N16" s="2"/>
      <x:c r="O16" s="2"/>
    </x:row>
    <x:row r="17" ht="64" customHeight="1">
      <x:c r="A17" s="3" t="str">
        <x:v>P016</x:v>
      </x:c>
      <x:c r="B17" s="3" t="str">
        <x:v>Rain AI</x:v>
      </x:c>
      <x:c r="C17" s="3" t="str">
        <x:v>数字CIM tile IP</x:v>
      </x:c>
      <x:c r="D17" s="3" t="str">
        <x:v>IP／商务接洽</x:v>
      </x:c>
      <x:c r="E17" s="3" t="str">
        <x:v>公司IP可授权声明</x:v>
      </x:c>
      <x:c r="F17" s="4"/>
      <x:c r="G17" s="4"/>
      <x:c r="H17" s="4" t="n">
        <x:v>46297</x:v>
      </x:c>
      <x:c r="I17" s="3" t="str">
        <x:v>硬件尚待推出，未核硅验证</x:v>
      </x:c>
      <x:c r="J17" s="3" t="str">
        <x:v>https://rain.ai/products</x:v>
      </x:c>
      <x:c r="K17" s="2"/>
      <x:c r="L17" s="2"/>
      <x:c r="M17" s="2"/>
      <x:c r="N17" s="2"/>
      <x:c r="O17" s="2"/>
    </x:row>
    <x:row r="18" ht="64" customHeight="1">
      <x:c r="A18" s="3" t="str">
        <x:v>P017</x:v>
      </x:c>
      <x:c r="B18" s="3" t="str">
        <x:v>REEXEN</x:v>
      </x:c>
      <x:c r="C18" s="3" t="str">
        <x:v>既有边缘芯片</x:v>
      </x:c>
      <x:c r="D18" s="3" t="str">
        <x:v>生产／部署声明</x:v>
      </x:c>
      <x:c r="E18" s="3" t="str">
        <x:v>媒体转述公司量产与订单</x:v>
      </x:c>
      <x:c r="F18" s="4" t="n">
        <x:v>45924</x:v>
      </x:c>
      <x:c r="G18" s="4"/>
      <x:c r="H18" s="4" t="n">
        <x:v>46297</x:v>
      </x:c>
      <x:c r="I18" s="3" t="str">
        <x:v>客户未具名，非审计收入</x:v>
      </x:c>
      <x:c r="J18" s="3" t="str">
        <x:v>https://news.pedaily.cn/202509/555264.shtml</x:v>
      </x:c>
      <x:c r="K18" s="2"/>
      <x:c r="L18" s="2"/>
      <x:c r="M18" s="2"/>
      <x:c r="N18" s="2"/>
      <x:c r="O18" s="2"/>
    </x:row>
    <x:row r="19" ht="64" customHeight="1">
      <x:c r="A19" s="3" t="str">
        <x:v>P018</x:v>
      </x:c>
      <x:c r="B19" s="3" t="str">
        <x:v>REEXEN</x:v>
      </x:c>
      <x:c r="C19" s="3" t="str">
        <x:v>HBF／ADA300／400</x:v>
      </x:c>
      <x:c r="D19" s="3" t="str">
        <x:v>方案／研发</x:v>
      </x:c>
      <x:c r="E19" s="3" t="str">
        <x:v>官网产品方案</x:v>
      </x:c>
      <x:c r="F19" s="4"/>
      <x:c r="G19" s="4"/>
      <x:c r="H19" s="4" t="n">
        <x:v>46297</x:v>
      </x:c>
      <x:c r="I19" s="3" t="str">
        <x:v>新产品样机、上市及采购未知</x:v>
      </x:c>
      <x:c r="J19" s="3" t="str">
        <x:v>https://www.reexen.com/</x:v>
      </x:c>
      <x:c r="K19" s="2"/>
      <x:c r="L19" s="2"/>
      <x:c r="M19" s="2"/>
      <x:c r="N19" s="2"/>
      <x:c r="O19" s="2"/>
    </x:row>
    <x:row r="20" ht="64" customHeight="1">
      <x:c r="A20" s="3" t="str">
        <x:v>P019</x:v>
      </x:c>
      <x:c r="B20" s="3" t="str">
        <x:v>维泛智能</x:v>
      </x:c>
      <x:c r="C20" s="3" t="str">
        <x:v>PAICORE 2.5</x:v>
      </x:c>
      <x:c r="D20" s="3" t="str">
        <x:v>工程样片</x:v>
      </x:c>
      <x:c r="E20" s="3" t="str">
        <x:v>高校项目与回片报道</x:v>
      </x:c>
      <x:c r="F20" s="4" t="n">
        <x:v>46157</x:v>
      </x:c>
      <x:c r="G20" s="4"/>
      <x:c r="H20" s="4" t="n">
        <x:v>46297</x:v>
      </x:c>
      <x:c r="I20" s="3" t="str">
        <x:v>量产为未来计划</x:v>
      </x:c>
      <x:c r="J20" s="3" t="str">
        <x:v>https://sie.pku.edu.cn/xwgg/xwdt/d5026a1ddd8949f4949404009fdb1002.htm</x:v>
      </x:c>
      <x:c r="K20" s="2"/>
      <x:c r="L20" s="2"/>
      <x:c r="M20" s="2"/>
      <x:c r="N20" s="2"/>
      <x:c r="O20" s="2"/>
    </x:row>
    <x:row r="21" ht="64"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n">
        <x:v>46279</x:v>
      </x:c>
      <x:c r="G21" s="4" t="n">
        <x:v>46279</x:v>
      </x:c>
      <x:c r="H21" s="4" t="n">
        <x:v>46297</x:v>
      </x:c>
      <x:c r="I21" s="3" t="str">
        <x:v>商业形态已定义；无公开价格、模组SKU、具名付费客户、验收或收入，节能仍未实测</x:v>
      </x:c>
      <x:c r="J21" s="3" t="str">
        <x:v>https://www.ebkernel.com/</x:v>
      </x:c>
      <x:c r="K21" s="2"/>
      <x:c r="L21" s="2"/>
      <x:c r="M21" s="2"/>
      <x:c r="N21" s="2"/>
      <x:c r="O21" s="2"/>
    </x:row>
    <x:row r="22" ht="64" customHeight="1">
      <x:c r="A22" s="3" t="str">
        <x:v>P021</x:v>
      </x:c>
      <x:c r="B22" s="3" t="str">
        <x:v>AnalogAI</x:v>
      </x:c>
      <x:c r="C22" s="3" t="str">
        <x:v>首代模拟CIM处理器</x:v>
      </x:c>
      <x:c r="D22" s="3" t="str">
        <x:v>方案／研发</x:v>
      </x:c>
      <x:c r="E22" s="3" t="str">
        <x:v>Microchip IP选型公告</x:v>
      </x:c>
      <x:c r="F22" s="4" t="n">
        <x:v>46280</x:v>
      </x:c>
      <x:c r="G22" s="4"/>
      <x:c r="H22" s="4" t="n">
        <x:v>46297</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4" customHeight="1">
      <x:c r="A23" s="3" t="str">
        <x:v>P022</x:v>
      </x:c>
      <x:c r="B23" s="3" t="str">
        <x:v>semiQa</x:v>
      </x:c>
      <x:c r="C23" s="3" t="str">
        <x:v>ANN1000／2000</x:v>
      </x:c>
      <x:c r="D23" s="3" t="str">
        <x:v>IP／商务接洽</x:v>
      </x:c>
      <x:c r="E23" s="3" t="str">
        <x:v>官网可授权IP定位</x:v>
      </x:c>
      <x:c r="F23" s="4"/>
      <x:c r="G23" s="4"/>
      <x:c r="H23" s="4" t="n">
        <x:v>46297</x:v>
      </x:c>
      <x:c r="I23" s="3" t="str">
        <x:v>量产定位非量产事实，未核硅验证</x:v>
      </x:c>
      <x:c r="J23" s="3" t="str">
        <x:v>https://semiqa.com/en/technology</x:v>
      </x:c>
      <x:c r="K23" s="2"/>
      <x:c r="L23" s="2"/>
      <x:c r="M23" s="2"/>
      <x:c r="N23" s="2"/>
      <x:c r="O23" s="2"/>
    </x:row>
    <x:row r="24" ht="64" customHeight="1">
      <x:c r="A24" s="3" t="str">
        <x:v>P023</x:v>
      </x:c>
      <x:c r="B24" s="3" t="str">
        <x:v>他山科技</x:v>
      </x:c>
      <x:c r="C24" s="3" t="str">
        <x:v>绿宝石E10A</x:v>
      </x:c>
      <x:c r="D24" s="3" t="str">
        <x:v>发布／演示</x:v>
      </x:c>
      <x:c r="E24" s="3" t="str">
        <x:v>展商一手产品自述＋7月17日发布报道；ASC脉冲转换为厂商描述</x:v>
      </x:c>
      <x:c r="F24" s="4" t="n">
        <x:v>46220</x:v>
      </x:c>
      <x:c r="G24" s="4" t="n">
        <x:v>46220</x:v>
      </x:c>
      <x:c r="H24" s="4" t="n">
        <x:v>46297</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4"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n">
        <x:v>46288</x:v>
      </x:c>
      <x:c r="G25" s="4"/>
      <x:c r="H25" s="4" t="n">
        <x:v>46297</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4" customHeight="1">
      <x:c r="A26" s="2" t="str">
        <x:v>P025</x:v>
      </x:c>
      <x:c r="B26" s="2" t="str">
        <x:v>STMicroelectronics</x:v>
      </x:c>
      <x:c r="C26" s="2" t="str">
        <x:v>STM32N657X0 MCU</x:v>
      </x:c>
      <x:c r="D26" s="2" t="str">
        <x:v>生产／部署声明</x:v>
      </x:c>
      <x:c r="E26" s="2" t="str">
        <x:v>官方量产状态与直购入口</x:v>
      </x:c>
      <x:c r="F26" s="11"/>
      <x:c r="G26" s="11"/>
      <x:c r="H26" s="11" t="n">
        <x:v>46297</x:v>
      </x:c>
      <x:c r="I26" s="2" t="str">
        <x:v>官网不同SKU状态需逐项核对；经销商库存未显示，终端量产客户与收入未知</x:v>
      </x:c>
      <x:c r="J26" s="2" t="str">
        <x:v>https://www.st.com/en/microcontrollers-microprocessors/stm32n657x0.html</x:v>
      </x:c>
      <x:c r="K26" s="2"/>
      <x:c r="L26" s="2"/>
      <x:c r="M26" s="2"/>
      <x:c r="N26" s="2"/>
      <x:c r="O26" s="2"/>
    </x:row>
    <x:row r="27" ht="64" customHeight="1">
      <x:c r="A27" s="2" t="str">
        <x:v>P026</x:v>
      </x:c>
      <x:c r="B27" s="2" t="str">
        <x:v>STMicroelectronics</x:v>
      </x:c>
      <x:c r="C27" s="2" t="str">
        <x:v>STM32N6570-DK／NUCLEO-N657X0-Q</x:v>
      </x:c>
      <x:c r="D27" s="2" t="str">
        <x:v>可采购硬件</x:v>
      </x:c>
      <x:c r="E27" s="2" t="str">
        <x:v>官方Active、直购／样品入口</x:v>
      </x:c>
      <x:c r="F27" s="11"/>
      <x:c r="G27" s="11"/>
      <x:c r="H27" s="11" t="n">
        <x:v>46297</x:v>
      </x:c>
      <x:c r="I27" s="2" t="str">
        <x:v>检索时无经销商库存报告；开发板可买不等于终端量产</x:v>
      </x:c>
      <x:c r="J27" s="2" t="str">
        <x:v>https://www.st.com/en/evaluation-tools/stm32n6570-dk.html</x:v>
      </x:c>
      <x:c r="K27" s="2"/>
      <x:c r="L27" s="2"/>
      <x:c r="M27" s="2"/>
      <x:c r="N27" s="2"/>
      <x:c r="O27" s="2"/>
    </x:row>
    <x:row r="28" ht="64" customHeight="1">
      <x:c r="A28" s="2" t="str">
        <x:v>P027</x:v>
      </x:c>
      <x:c r="B28" s="2" t="str">
        <x:v>NXP</x:v>
      </x:c>
      <x:c r="C28" s="2" t="str">
        <x:v>MIMXRT700-EVK</x:v>
      </x:c>
      <x:c r="D28" s="2" t="str">
        <x:v>可采购硬件</x:v>
      </x:c>
      <x:c r="E28" s="2" t="str">
        <x:v>官方Active商品页，2套现货、187.23美元</x:v>
      </x:c>
      <x:c r="F28" s="11"/>
      <x:c r="G28" s="11"/>
      <x:c r="H28" s="11" t="n">
        <x:v>46297</x:v>
      </x:c>
      <x:c r="I28" s="2" t="str">
        <x:v>库存是检索快照；终端设计定点、销量和收入未知</x:v>
      </x:c>
      <x:c r="J28" s="2" t="str">
        <x:v>https://www.nxp.com/design/design-center/software/development-software/mcuxpresso-software-and-tools-/i-mx-rt700-evaluation-kit:MIMXRT700-EVK</x:v>
      </x:c>
      <x:c r="K28" s="2"/>
      <x:c r="L28" s="2"/>
      <x:c r="M28" s="2"/>
      <x:c r="N28" s="2"/>
      <x:c r="O28" s="2"/>
    </x:row>
    <x:row r="29" ht="64" customHeight="1">
      <x:c r="A29" s="2" t="str">
        <x:v>P028</x:v>
      </x:c>
      <x:c r="B29" s="2" t="str">
        <x:v>Synaptics</x:v>
      </x:c>
      <x:c r="C29" s="2" t="str">
        <x:v>Astra Machina SL2610 Dev Kit</x:v>
      </x:c>
      <x:c r="D29" s="2" t="str">
        <x:v>可采购硬件</x:v>
      </x:c>
      <x:c r="E29" s="2" t="str">
        <x:v>官网列三家分销购买入口与完整开发文档</x:v>
      </x:c>
      <x:c r="F29" s="11" t="n">
        <x:v>46225</x:v>
      </x:c>
      <x:c r="G29" s="11"/>
      <x:c r="H29" s="11" t="n">
        <x:v>46297</x:v>
      </x:c>
      <x:c r="I29" s="2" t="str">
        <x:v>未逐家确认库存；开发套件不等于SL2610终端批量出货</x:v>
      </x:c>
      <x:c r="J29" s="2" t="str">
        <x:v>https://www.synaptics.com/products/embedded-processors/sl2610-product-line</x:v>
      </x:c>
      <x:c r="K29" s="2"/>
      <x:c r="L29" s="2"/>
      <x:c r="M29" s="2"/>
      <x:c r="N29" s="2"/>
      <x:c r="O29" s="2"/>
    </x:row>
    <x:row r="30" ht="64" customHeight="1">
      <x:c r="A30" s="2" t="str">
        <x:v>P029</x:v>
      </x:c>
      <x:c r="B30" s="2" t="str">
        <x:v>Hailo</x:v>
      </x:c>
      <x:c r="C30" s="2" t="str">
        <x:v>Hailo-10H M.2</x:v>
      </x:c>
      <x:c r="D30" s="2" t="str">
        <x:v>可采购硬件</x:v>
      </x:c>
      <x:c r="E30" s="2" t="str">
        <x:v>官方商业可用公告与当前商店入口</x:v>
      </x:c>
      <x:c r="F30" s="11" t="n">
        <x:v>45860</x:v>
      </x:c>
      <x:c r="G30" s="11" t="n">
        <x:v>45860</x:v>
      </x:c>
      <x:c r="H30" s="11" t="n">
        <x:v>46297</x:v>
      </x:c>
      <x:c r="I30" s="2" t="str">
        <x:v>未核销量与收入；汽车SOP是目标，性能功耗为厂商基准</x:v>
      </x:c>
      <x:c r="J30" s="2" t="str">
        <x:v>https://hailo.ai/company-overview/newsroom/news/hailo-announces-general-availability-of-hailo-10h-edge-ai-accelerator-with-generative-ai-capabilities/</x:v>
      </x:c>
      <x:c r="K30" s="2"/>
      <x:c r="L30" s="2"/>
      <x:c r="M30" s="2"/>
      <x:c r="N30" s="2"/>
      <x:c r="O30" s="2"/>
    </x:row>
    <x:row r="31" ht="64" customHeight="1">
      <x:c r="A31" s="2" t="str">
        <x:v>P030</x:v>
      </x:c>
      <x:c r="B31" s="2" t="str">
        <x:v>Ambiq</x:v>
      </x:c>
      <x:c r="C31" s="2" t="str">
        <x:v>Apollo510 EVB</x:v>
      </x:c>
      <x:c r="D31" s="2" t="str">
        <x:v>可采购硬件</x:v>
      </x:c>
      <x:c r="E31" s="2" t="str">
        <x:v>DigiKey 12套现货快照</x:v>
      </x:c>
      <x:c r="F31" s="11"/>
      <x:c r="G31" s="11"/>
      <x:c r="H31" s="11" t="n">
        <x:v>46297</x:v>
      </x:c>
      <x:c r="I31" s="2" t="str">
        <x:v>评估板现货不证明Apollo510芯片终端批量</x:v>
      </x:c>
      <x:c r="J31" s="2" t="str">
        <x:v>https://www.digikey.com/en/products/detail/ambiq-micro-inc/AP510BEVB/28007828</x:v>
      </x:c>
      <x:c r="K31" s="2"/>
      <x:c r="L31" s="2"/>
      <x:c r="M31" s="2"/>
      <x:c r="N31" s="2"/>
      <x:c r="O31" s="2"/>
    </x:row>
    <x:row r="32" ht="64" customHeight="1">
      <x:c r="A32" s="3" t="str">
        <x:v>P031</x:v>
      </x:c>
      <x:c r="B32" s="3" t="str">
        <x:v>Ambiq</x:v>
      </x:c>
      <x:c r="C32" s="3" t="str">
        <x:v>Apollo510 Lite芯片SKU</x:v>
      </x:c>
      <x:c r="D32" s="3" t="str">
        <x:v>客户评估／模块</x:v>
      </x:c>
      <x:c r="E32" s="3" t="str">
        <x:v>分销SKU Active、库存0，预计2026-10-05到货约4900颗</x:v>
      </x:c>
      <x:c r="F32" s="4" t="n">
        <x:v>45958</x:v>
      </x:c>
      <x:c r="G32" s="4"/>
      <x:c r="H32" s="4" t="n">
        <x:v>46297</x:v>
      </x:c>
      <x:c r="I32" s="3" t="str">
        <x:v>预计到货不是现货或已交付；批量客户与分产品收入未知</x:v>
      </x:c>
      <x:c r="J32" s="3" t="str">
        <x:v>https://www.digikey.com/en/products/detail/ambiq-micro-inc/AP510DLA-CBR/29182379</x:v>
      </x:c>
      <x:c r="K32" s="2"/>
      <x:c r="L32" s="2"/>
      <x:c r="M32" s="2"/>
      <x:c r="N32" s="2"/>
      <x:c r="O32" s="2"/>
    </x:row>
    <x:row r="33" ht="64"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n">
        <x:v>46217</x:v>
      </x:c>
      <x:c r="G33" s="4"/>
      <x:c r="H33" s="4" t="n">
        <x:v>46297</x:v>
      </x:c>
      <x:c r="I33" s="3" t="str">
        <x:v>未披露具体型号、客户、订单量、金额、交付和收入；不得直接映射为Aeveon或Speck</x:v>
      </x:c>
      <x:c r="J33" s="3" t="str">
        <x:v>https://www.hczb2019.com/hcdt/article-1128.html</x:v>
      </x:c>
      <x:c r="K33" s="2"/>
      <x:c r="L33" s="2"/>
      <x:c r="M33" s="2"/>
      <x:c r="N33" s="2"/>
      <x:c r="O33" s="2"/>
    </x:row>
    <x:row r="34" ht="64" customHeight="1">
      <x:c r="A34" s="3" t="str">
        <x:v>P033</x:v>
      </x:c>
      <x:c r="B34" s="3" t="str">
        <x:v>SpiNNcloud</x:v>
      </x:c>
      <x:c r="C34" s="3" t="str">
        <x:v>SpiNNaker2科研系统／Braunfels与莱比锡部署</x:v>
      </x:c>
      <x:c r="D34" s="3" t="str">
        <x:v>科研部署已确认</x:v>
      </x:c>
      <x:c r="E34" s="3" t="str">
        <x:v>Sandia与莱比锡大学作为使用方确认系统已到货／运行；软件公开镜像与教程可读</x:v>
      </x:c>
      <x:c r="F34" s="4" t="n">
        <x:v>45812</x:v>
      </x:c>
      <x:c r="G34" s="4"/>
      <x:c r="H34" s="4" t="n">
        <x:v>46297</x:v>
      </x:c>
      <x:c r="I34" s="3" t="str">
        <x:v>到货月份不是日；部署不是供应商收入。约400万欧元为莱比锡科研设施资助；无合同、支付、规模化训练或同任务整机实测</x:v>
      </x:c>
      <x:c r="J34" s="3" t="str">
        <x:v>https://www.sandia.gov/research/news/brain-based-computing-for-nuclear-deterrence-solutions/</x:v>
      </x:c>
      <x:c r="K34" s="2"/>
      <x:c r="L34" s="2"/>
      <x:c r="M34" s="2"/>
      <x:c r="N34" s="2"/>
      <x:c r="O34" s="2"/>
    </x:row>
    <x:row r="35" ht="64" customHeight="1">
      <x:c r="A35" s="3" t="str">
        <x:v>P034</x:v>
      </x:c>
      <x:c r="B35" s="3" t="str">
        <x:v>OpenMV／Prophesee生态</x:v>
      </x:c>
      <x:c r="C35" s="3" t="str">
        <x:v>多光谱事件相机模组（GENX320＋PAG7936）</x:v>
      </x:c>
      <x:c r="D35" s="3" t="str">
        <x:v>商品页／售罄</x:v>
      </x:c>
      <x:c r="E35" s="3" t="str">
        <x:v>OpenMV官方商品页公开500美元价格、SKU与规格；GENX320事件流和1MP／120 FPS彩色全局快门同步集成；检索时库存0、不可下单</x:v>
      </x:c>
      <x:c r="F35" s="4"/>
      <x:c r="G35" s="4"/>
      <x:c r="H35" s="4" t="n">
        <x:v>46297</x:v>
      </x:c>
      <x:c r="I35" s="3" t="str">
        <x:v>页面未标发布日期；售罄不等于已核实出货、补货或终端量产。仅兼容OpenMV N6；无销量、客户、收入或世界模型训练证据</x:v>
      </x:c>
      <x:c r="J35" s="3" t="str">
        <x:v>https://openmv.io/products/multispectral-event-camera-module</x:v>
      </x:c>
      <x:c r="K35" s="2"/>
      <x:c r="L35" s="2"/>
      <x:c r="M35" s="2"/>
      <x:c r="N35" s="2"/>
      <x:c r="O35" s="2"/>
    </x:row>
    <x:row r="36" ht="88" customHeight="1">
      <x:c r="A36" s="3"/>
      <x:c r="B36" s="3"/>
      <x:c r="C36" s="3"/>
      <x:c r="D36" s="3"/>
      <x:c r="E36" s="3"/>
      <x:c r="F36" s="3"/>
      <x:c r="G36" s="3"/>
      <x:c r="H36" s="3"/>
      <x:c r="I36" s="3"/>
      <x:c r="J36" s="3"/>
      <x:c r="K36" s="2"/>
      <x:c r="L36" s="2"/>
      <x:c r="M36" s="2"/>
      <x:c r="N36" s="2"/>
      <x:c r="O36" s="2"/>
    </x:row>
    <x:row r="37" ht="88" customHeight="1">
      <x:c r="A37" s="3"/>
      <x:c r="B37" s="3"/>
      <x:c r="C37" s="3"/>
      <x:c r="D37" s="3"/>
      <x:c r="E37" s="3"/>
      <x:c r="F37" s="3"/>
      <x:c r="G37" s="3"/>
      <x:c r="H37" s="3"/>
      <x:c r="I37" s="3"/>
      <x:c r="J37" s="3"/>
      <x:c r="K37" s="2"/>
      <x:c r="L37" s="2"/>
      <x:c r="M37" s="2"/>
      <x:c r="N37" s="2"/>
      <x:c r="O37" s="2"/>
    </x:row>
    <x:row r="38" ht="88" customHeight="1">
      <x:c r="A38" s="3"/>
      <x:c r="B38" s="3"/>
      <x:c r="C38" s="3"/>
      <x:c r="D38" s="3"/>
      <x:c r="E38" s="3"/>
      <x:c r="F38" s="3"/>
      <x:c r="G38" s="3"/>
      <x:c r="H38" s="3"/>
      <x:c r="I38" s="3"/>
      <x:c r="J38" s="3"/>
      <x:c r="K38" s="2"/>
      <x:c r="L38" s="2"/>
      <x:c r="M38" s="2"/>
      <x:c r="N38" s="2"/>
      <x:c r="O38" s="2"/>
    </x:row>
    <x:row r="39" ht="88" customHeight="1">
      <x:c r="A39" s="3"/>
      <x:c r="B39" s="3"/>
      <x:c r="C39" s="3"/>
      <x:c r="D39" s="3"/>
      <x:c r="E39" s="3"/>
      <x:c r="F39" s="3"/>
      <x:c r="G39" s="3"/>
      <x:c r="H39" s="3"/>
      <x:c r="I39" s="3"/>
      <x:c r="J39" s="3"/>
      <x:c r="K39" s="2"/>
      <x:c r="L39" s="2"/>
      <x:c r="M39" s="2"/>
      <x:c r="N39" s="2"/>
      <x:c r="O39" s="2"/>
    </x:row>
    <x:row r="40" ht="88" customHeight="1">
      <x:c r="A40" s="3"/>
      <x:c r="B40" s="3"/>
      <x:c r="C40" s="3"/>
      <x:c r="D40" s="3"/>
      <x:c r="E40" s="3"/>
      <x:c r="F40" s="3"/>
      <x:c r="G40" s="3"/>
      <x:c r="H40" s="3"/>
      <x:c r="I40" s="3"/>
      <x:c r="J40" s="3"/>
      <x:c r="K40" s="2"/>
      <x:c r="L40" s="2"/>
      <x:c r="M40" s="2"/>
      <x:c r="N40" s="2"/>
      <x:c r="O40" s="2"/>
    </x:row>
    <x:row r="41" ht="88" customHeight="1">
      <x:c r="A41" s="3"/>
      <x:c r="B41" s="3"/>
      <x:c r="C41" s="3"/>
      <x:c r="D41" s="3"/>
      <x:c r="E41" s="3"/>
      <x:c r="F41" s="3"/>
      <x:c r="G41" s="3"/>
      <x:c r="H41" s="3"/>
      <x:c r="I41" s="3"/>
      <x:c r="J41" s="3"/>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043e64d0c32447c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s="3" t="str">
        <x:v>编号</x:v>
      </x:c>
      <x:c r="B1" s="3" t="str">
        <x:v>事件日期</x:v>
      </x:c>
      <x:c r="C1" s="3" t="str">
        <x:v>发布日期</x:v>
      </x:c>
      <x:c r="D1" s="3" t="str">
        <x:v>主体</x:v>
      </x:c>
      <x:c r="E1" s="3" t="str">
        <x:v>事件</x:v>
      </x:c>
      <x:c r="F1" s="3" t="str">
        <x:v>证据边界</x:v>
      </x:c>
      <x:c r="G1" s="3" t="str">
        <x:v>原始URL</x:v>
      </x:c>
      <x:c r="H1" s="2"/>
      <x:c r="I1" s="2"/>
      <x:c r="J1" s="2"/>
      <x:c r="K1" s="2"/>
      <x:c r="L1" s="2"/>
      <x:c r="M1" s="2"/>
      <x:c r="N1" s="2"/>
      <x:c r="O1" s="2"/>
    </x:row>
    <x:row r="2" ht="60" customHeight="1">
      <x:c r="A2" s="3" t="str">
        <x:v>T018</x:v>
      </x:c>
      <x:c r="B2" s="4" t="str">
        <x:v>2025-03（仅月份）</x:v>
      </x:c>
      <x:c r="C2" s="4" t="n">
        <x:v>45812</x:v>
      </x:c>
      <x:c r="D2" s="3" t="str">
        <x:v>Sandia／SpiNNcloud</x:v>
      </x:c>
      <x:c r="E2" s="3" t="str">
        <x:v>Braunfels到货并完成科研部署</x:v>
      </x:c>
      <x:c r="F2" s="3" t="str">
        <x:v>事件只确认月份；Sandia确认初始热流随机游走模拟。研究试验平台，不是终端规模量产或供应商收入</x:v>
      </x:c>
      <x:c r="G2" s="3" t="str">
        <x:v>https://www.sandia.gov/research/news/brain-based-computing-for-nuclear-deterrence-solutions/</x:v>
      </x:c>
      <x:c r="H2" s="2"/>
      <x:c r="I2" s="2"/>
      <x:c r="J2" s="2"/>
      <x:c r="K2" s="2"/>
      <x:c r="L2" s="2"/>
      <x:c r="M2" s="2"/>
      <x:c r="N2" s="2"/>
      <x:c r="O2" s="2"/>
    </x:row>
    <x:row r="3" ht="60" customHeight="1">
      <x:c r="A3" s="3" t="str">
        <x:v>T012</x:v>
      </x:c>
      <x:c r="B3" s="4" t="n">
        <x:v>45860</x:v>
      </x:c>
      <x:c r="C3" s="4" t="n">
        <x:v>45860</x:v>
      </x:c>
      <x:c r="D3" s="3" t="str">
        <x:v>Hailo</x:v>
      </x:c>
      <x:c r="E3" s="3" t="str">
        <x:v>Hailo-10H商业可用并接受全球订单</x:v>
      </x:c>
      <x:c r="F3" s="3" t="str">
        <x:v>厂商GA与订单入口；不等于终端设计定点、销量或收入</x:v>
      </x:c>
      <x:c r="G3" s="3" t="str">
        <x:v>https://hailo.ai/company-overview/newsroom/news/hailo-announces-general-availability-of-hailo-10h-edge-ai-accelerator-with-generative-ai-capabilities/</x:v>
      </x:c>
      <x:c r="H3" s="2"/>
      <x:c r="I3" s="2"/>
      <x:c r="J3" s="2"/>
      <x:c r="K3" s="2"/>
      <x:c r="L3" s="2"/>
      <x:c r="M3" s="2"/>
      <x:c r="N3" s="2"/>
      <x:c r="O3" s="2"/>
    </x:row>
    <x:row r="4" ht="60" customHeight="1">
      <x:c r="A4" s="3" t="str">
        <x:v>T019</x:v>
      </x:c>
      <x:c r="B4" s="4" t="str">
        <x:v>2025-10（仅月份）</x:v>
      </x:c>
      <x:c r="C4" s="4" t="n">
        <x:v>45958</x:v>
      </x:c>
      <x:c r="D4" s="3" t="str">
        <x:v>莱比锡大学／SpiNNcloud</x:v>
      </x:c>
      <x:c r="E4" s="3" t="str">
        <x:v>类脑科研系统投入运行</x:v>
      </x:c>
      <x:c r="F4" s="3" t="str">
        <x:v>事件只确认月份；约400万欧元为科研设施资助，不是采购额或供应商收入。药物项目采用int8 DNN，不能等同SNN片上学习</x:v>
      </x:c>
      <x:c r="G4" s="3" t="str">
        <x:v>https://www.uni-leipzig.de/newsdetail/artikel/vom-gehirn-inspiriert-supercomputer-staerkt-ki-forschung-an-der-universitaet-leipzig-2025-10-28</x:v>
      </x:c>
      <x:c r="H4" s="2"/>
      <x:c r="I4" s="2"/>
      <x:c r="J4" s="2"/>
      <x:c r="K4" s="2"/>
      <x:c r="L4" s="2"/>
      <x:c r="M4" s="2"/>
      <x:c r="N4" s="2"/>
      <x:c r="O4" s="2"/>
    </x:row>
    <x:row r="5" ht="60" customHeight="1">
      <x:c r="A5" s="3" t="str">
        <x:v>T001</x:v>
      </x:c>
      <x:c r="B5" s="4" t="n">
        <x:v>46057</x:v>
      </x:c>
      <x:c r="C5" s="4" t="n">
        <x:v>46057</x:v>
      </x:c>
      <x:c r="D5" s="3" t="str">
        <x:v>Honda／Mythic</x:v>
      </x:c>
      <x:c r="E5" s="3" t="str">
        <x:v>投资与车载SoC联合研发</x:v>
      </x:c>
      <x:c r="F5" s="3" t="str">
        <x:v>未来联合研发，不是车型量产</x:v>
      </x:c>
      <x:c r="G5" s="3" t="str">
        <x:v>https://global.honda/en/topics/2026/c_2026-02-04eng.html</x:v>
      </x:c>
      <x:c r="H5" s="2"/>
      <x:c r="I5" s="2"/>
      <x:c r="J5" s="2"/>
      <x:c r="K5" s="2"/>
      <x:c r="L5" s="2"/>
      <x:c r="M5" s="2"/>
      <x:c r="N5" s="2"/>
      <x:c r="O5" s="2"/>
    </x:row>
    <x:row r="6" ht="60" customHeight="1">
      <x:c r="A6" s="3" t="str">
        <x:v>T002</x:v>
      </x:c>
      <x:c r="B6" s="4" t="n">
        <x:v>46093</x:v>
      </x:c>
      <x:c r="C6" s="4" t="n">
        <x:v>46107</x:v>
      </x:c>
      <x:c r="D6" s="3" t="str">
        <x:v>Innatera／Joya</x:v>
      </x:c>
      <x:c r="E6" s="3" t="str">
        <x:v>EdgeCore模块发布</x:v>
      </x:c>
      <x:c r="F6" s="3" t="str">
        <x:v>可集成客户模块，销量未知</x:v>
      </x:c>
      <x:c r="G6" s="3" t="str">
        <x:v>https://www.innatera.com/newsroom/joya-design-takes-neuromorphic-chip-from-design-to-device-with-first-innatera-powered-consumer-audio-product-at-awe-china/</x:v>
      </x:c>
      <x:c r="H6" s="2"/>
      <x:c r="I6" s="2"/>
      <x:c r="J6" s="2"/>
      <x:c r="K6" s="2"/>
      <x:c r="L6" s="2"/>
      <x:c r="M6" s="2"/>
      <x:c r="N6" s="2"/>
      <x:c r="O6" s="2"/>
    </x:row>
    <x:row r="7" ht="60" customHeight="1">
      <x:c r="A7" s="3" t="str">
        <x:v>T003</x:v>
      </x:c>
      <x:c r="B7" s="4" t="n">
        <x:v>46161</x:v>
      </x:c>
      <x:c r="C7" s="4" t="n">
        <x:v>46161</x:v>
      </x:c>
      <x:c r="D7" s="3" t="str">
        <x:v>Mythic</x:v>
      </x:c>
      <x:c r="E7" s="3" t="str">
        <x:v>收购Videantis</x:v>
      </x:c>
      <x:c r="F7" s="3" t="str">
        <x:v>被收购数字IP装机不计作模拟APU销量</x:v>
      </x:c>
      <x:c r="G7" s="3" t="str">
        <x:v>https://www.mythic.ai/newsroom/Blog%20Post%20Title%20One-3zaa9-zlxng-67tfc-lbgbx</x:v>
      </x:c>
      <x:c r="H7" s="2"/>
      <x:c r="I7" s="2"/>
      <x:c r="J7" s="2"/>
      <x:c r="K7" s="2"/>
      <x:c r="L7" s="2"/>
      <x:c r="M7" s="2"/>
      <x:c r="N7" s="2"/>
      <x:c r="O7" s="2"/>
    </x:row>
    <x:row r="8" ht="60" customHeight="1">
      <x:c r="A8" s="3" t="str">
        <x:v>T013</x:v>
      </x:c>
      <x:c r="B8" s="4" t="n">
        <x:v>46161</x:v>
      </x:c>
      <x:c r="C8" s="4" t="n">
        <x:v>46161</x:v>
      </x:c>
      <x:c r="D8" s="3" t="str">
        <x:v>BrainChip／ASICLAND</x:v>
      </x:c>
      <x:c r="E8" s="3" t="str">
        <x:v>签署Akida IP分销许可</x:v>
      </x:c>
      <x:c r="F8" s="3" t="str">
        <x:v>可做评估许可和MPW；客户生产许可需BrainChip另批并支付生产许可费，未披露金额或已确认收入</x:v>
      </x:c>
      <x:c r="G8" s="3" t="str">
        <x:v>https://brainchip.com/press/brainchip-strikes-ip-licensing-deal-with-asicland/</x:v>
      </x:c>
      <x:c r="H8" s="2"/>
      <x:c r="I8" s="2"/>
      <x:c r="J8" s="2"/>
      <x:c r="K8" s="2"/>
      <x:c r="L8" s="2"/>
      <x:c r="M8" s="2"/>
      <x:c r="N8" s="2"/>
      <x:c r="O8" s="2"/>
    </x:row>
    <x:row r="9" ht="60" customHeight="1">
      <x:c r="A9" s="3" t="str">
        <x:v>T004</x:v>
      </x:c>
      <x:c r="B9" s="4" t="n">
        <x:v>46188</x:v>
      </x:c>
      <x:c r="C9" s="4" t="n">
        <x:v>46188</x:v>
      </x:c>
      <x:c r="D9" s="3" t="str">
        <x:v>Prophesee</x:v>
      </x:c>
      <x:c r="E9" s="3" t="str">
        <x:v>Mantara／Hearth发布</x:v>
      </x:c>
      <x:c r="F9" s="3" t="str">
        <x:v>厂商现场验证与软件迁移公告</x:v>
      </x:c>
      <x:c r="G9" s="3" t="str">
        <x:v>https://www.prophesee.ai/2026/06/15/prophesee-launches-mantara-event-based-drone-detection/</x:v>
      </x:c>
      <x:c r="H9" s="2"/>
      <x:c r="I9" s="2"/>
      <x:c r="J9" s="2"/>
      <x:c r="K9" s="2"/>
      <x:c r="L9" s="2"/>
      <x:c r="M9" s="2"/>
      <x:c r="N9" s="2"/>
      <x:c r="O9" s="2"/>
    </x:row>
    <x:row r="10" ht="60" customHeight="1">
      <x:c r="A10" s="3" t="str">
        <x:v>T005</x:v>
      </x:c>
      <x:c r="B10" s="4" t="n">
        <x:v>46202</x:v>
      </x:c>
      <x:c r="C10" s="4" t="n">
        <x:v>46202</x:v>
      </x:c>
      <x:c r="D10" s="3" t="str">
        <x:v>Innatera</x:v>
      </x:c>
      <x:c r="E10" s="3" t="str">
        <x:v>Synfire 0.0.2 Beta发布</x:v>
      </x:c>
      <x:c r="F10" s="3" t="str">
        <x:v>可安装，生产部署未知</x:v>
      </x:c>
      <x:c r="G10" s="3" t="str">
        <x:v>https://pypi.org/project/synfire/</x:v>
      </x:c>
      <x:c r="H10" s="2"/>
      <x:c r="I10" s="2"/>
      <x:c r="J10" s="2"/>
      <x:c r="K10" s="2"/>
      <x:c r="L10" s="2"/>
      <x:c r="M10" s="2"/>
      <x:c r="N10" s="2"/>
      <x:c r="O10" s="2"/>
    </x:row>
    <x:row r="11" ht="60" customHeight="1">
      <x:c r="A11" s="3" t="str">
        <x:v>T010</x:v>
      </x:c>
      <x:c r="B11" s="4" t="n">
        <x:v>46220</x:v>
      </x:c>
      <x:c r="C11" s="4" t="n">
        <x:v>46220</x:v>
      </x:c>
      <x:c r="D11" s="3" t="str">
        <x:v>他山科技</x:v>
      </x:c>
      <x:c r="E11" s="3" t="str">
        <x:v>E10A动态触觉芯片公开发布／演示</x:v>
      </x:c>
      <x:c r="F11" s="3" t="str">
        <x:v>ASC转换为厂商披露，E10A量产未知</x:v>
      </x:c>
      <x:c r="G11" s="3" t="str">
        <x:v>https://www3.xinhuanet.com/tech/20260717/d66a7bb7dcf8414baeab73d6499b785e/c.html</x:v>
      </x:c>
      <x:c r="H11" s="2"/>
      <x:c r="I11" s="2"/>
      <x:c r="J11" s="2"/>
      <x:c r="K11" s="2"/>
      <x:c r="L11" s="2"/>
      <x:c r="M11" s="2"/>
      <x:c r="N11" s="2"/>
      <x:c r="O11" s="2"/>
    </x:row>
    <x:row r="12" ht="60" customHeight="1">
      <x:c r="A12" s="3" t="str">
        <x:v>T015</x:v>
      </x:c>
      <x:c r="B12" s="4" t="n">
        <x:v>46224</x:v>
      </x:c>
      <x:c r="C12" s="4" t="n">
        <x:v>46231</x:v>
      </x:c>
      <x:c r="D12" s="3" t="str">
        <x:v>World Labs／SceniX</x:v>
      </x:c>
      <x:c r="E12" s="3" t="str">
        <x:v>World Labs收购机器人仿真公司SceniX</x:v>
      </x:c>
      <x:c r="F12" s="3" t="str">
        <x:v>World Labs称SceniX R2S2R把真实任务转为可控仿真用于策略训练和评估；结果为公司展示，未独立复现，未披露交易金额或客户收入</x:v>
      </x:c>
      <x:c r="G12" s="3" t="str">
        <x:v>https://www.worldlabs.ai/blog/real-to-sim-to-real</x:v>
      </x:c>
      <x:c r="H12" s="2"/>
      <x:c r="I12" s="2"/>
      <x:c r="J12" s="2"/>
      <x:c r="K12" s="2"/>
      <x:c r="L12" s="2"/>
      <x:c r="M12" s="2"/>
      <x:c r="N12" s="2"/>
      <x:c r="O12" s="2"/>
    </x:row>
    <x:row r="13" ht="60" customHeight="1">
      <x:c r="A13" s="3" t="str">
        <x:v>T006</x:v>
      </x:c>
      <x:c r="B13" s="4" t="n">
        <x:v>46231</x:v>
      </x:c>
      <x:c r="C13" s="4" t="n">
        <x:v>46231</x:v>
      </x:c>
      <x:c r="D13" s="3" t="str">
        <x:v>BrainChip</x:v>
      </x:c>
      <x:c r="E13" s="3" t="str">
        <x:v>AKD1500 M.2模块可购</x:v>
      </x:c>
      <x:c r="F13" s="3" t="str">
        <x:v>开发模块，不等于终端销量</x:v>
      </x:c>
      <x:c r="G13" s="3" t="str">
        <x:v>https://investor.brainchip.com/press/brainchip-akd1500-now-available-in-compact-m-2-form-factor-enabling-fanless-edge-ai-in-industrial-and-commercial-designs/</x:v>
      </x:c>
      <x:c r="H13" s="2"/>
      <x:c r="I13" s="2"/>
      <x:c r="J13" s="2"/>
      <x:c r="K13" s="2"/>
      <x:c r="L13" s="2"/>
      <x:c r="M13" s="2"/>
      <x:c r="N13" s="2"/>
      <x:c r="O13" s="2"/>
    </x:row>
    <x:row r="14" ht="60" customHeight="1">
      <x:c r="A14" s="2" t="str">
        <x:v>T014</x:v>
      </x:c>
      <x:c r="B14" s="11" t="n">
        <x:v>46247</x:v>
      </x:c>
      <x:c r="C14" s="11" t="n">
        <x:v>46247</x:v>
      </x:c>
      <x:c r="D14" s="2" t="str">
        <x:v>BrainChip／Orama.AOI</x:v>
      </x:c>
      <x:c r="E14" s="2" t="str">
        <x:v>发布工业检测参考部署合作</x:v>
      </x:c>
      <x:c r="F14" s="2" t="str">
        <x:v>伙伴称已优化模型并形成参考部署／生产就绪方案；未披露终端工厂、采购额、出货量或收入</x:v>
      </x:c>
      <x:c r="G14" s="2" t="str">
        <x:v>https://brainchip.com/press/brainchip-partners-with-orama-aoi-for-ai-fueled-defect-detection/</x:v>
      </x:c>
      <x:c r="H14" s="2"/>
      <x:c r="I14" s="2"/>
      <x:c r="J14" s="2"/>
      <x:c r="K14" s="2"/>
      <x:c r="L14" s="2"/>
      <x:c r="M14" s="2"/>
      <x:c r="N14" s="2"/>
      <x:c r="O14" s="2"/>
    </x:row>
    <x:row r="15" ht="60" customHeight="1">
      <x:c r="A15" s="2" t="str">
        <x:v>T011</x:v>
      </x:c>
      <x:c r="B15" s="11"/>
      <x:c r="C15" s="11" t="n">
        <x:v>46260</x:v>
      </x:c>
      <x:c r="D15" s="2" t="str">
        <x:v>奥比中光／他山</x:v>
      </x:c>
      <x:c r="E15" s="2" t="str">
        <x:v>TS-ECHO视触无本体数采合作</x:v>
      </x:c>
      <x:c r="F15" s="2" t="str">
        <x:v>合作方确认签约，具体签约日未知；非验收／付费交付</x:v>
      </x:c>
      <x:c r="G15" s="2" t="str">
        <x:v>https://www.orbbec.com/news/orbbec-and-tashan-technology-form-strategic-partnership-to-advance-vision-tactile-data-collection-solutions/</x:v>
      </x:c>
      <x:c r="H15" s="2"/>
      <x:c r="I15" s="2"/>
      <x:c r="J15" s="2"/>
      <x:c r="K15" s="2"/>
      <x:c r="L15" s="2"/>
      <x:c r="M15" s="2"/>
      <x:c r="N15" s="2"/>
      <x:c r="O15" s="2"/>
    </x:row>
    <x:row r="16" ht="60" customHeight="1">
      <x:c r="A16" s="63" t="str">
        <x:v>T007</x:v>
      </x:c>
      <x:c r="B16" s="85" t="n">
        <x:v>46265</x:v>
      </x:c>
      <x:c r="C16" s="85" t="n">
        <x:v>46265</x:v>
      </x:c>
      <x:c r="D16" s="64" t="str">
        <x:v>MemryX／Express LUCK</x:v>
      </x:c>
      <x:c r="E16" s="64" t="str">
        <x:v>生产线部署</x:v>
      </x:c>
      <x:c r="F16" s="64" t="str">
        <x:v>具名部署联合稿，采购金额未知</x:v>
      </x:c>
      <x:c r="G16" s="64" t="str">
        <x:v>https://memryx.ai/news/express-luck-selects-memryx-for-ai-enabled-smart-manufacturing-operations/</x:v>
      </x:c>
      <x:c r="H16" s="64"/>
      <x:c r="I16" s="65"/>
      <x:c r="J16" s="2"/>
      <x:c r="K16" s="2"/>
      <x:c r="L16" s="2"/>
      <x:c r="M16" s="2"/>
      <x:c r="N16" s="2"/>
      <x:c r="O16" s="2"/>
    </x:row>
    <x:row r="17" ht="60" customHeight="1">
      <x:c r="A17" s="66" t="str">
        <x:v>T017</x:v>
      </x:c>
      <x:c r="B17" s="72" t="n">
        <x:v>46279</x:v>
      </x:c>
      <x:c r="C17" s="72" t="n">
        <x:v>46279</x:v>
      </x:c>
      <x:c r="D17" s="67" t="str">
        <x:v>具脑磐石 EBKernel</x:v>
      </x:c>
      <x:c r="E17" s="67" t="str">
        <x:v>Cog-WM 1.0发布并公开四种交付形态</x:v>
      </x:c>
      <x:c r="F17" s="67" t="str">
        <x:v>官网明确许可、模组、行业方案和RaaS；客户现场为公司／媒体宣称，未披露具名付费客户、合同、验收或收入，节能幅度未实测</x:v>
      </x:c>
      <x:c r="G17" s="67" t="str">
        <x:v>https://www.ebkernel.com/</x:v>
      </x:c>
      <x:c r="H17" s="67"/>
      <x:c r="I17" s="68"/>
      <x:c r="J17" s="2"/>
      <x:c r="K17" s="2"/>
      <x:c r="L17" s="2"/>
      <x:c r="M17" s="2"/>
      <x:c r="N17" s="2"/>
      <x:c r="O17" s="2"/>
    </x:row>
    <x:row r="18" ht="60" customHeight="1">
      <x:c r="A18" s="76" t="str">
        <x:v>T008</x:v>
      </x:c>
      <x:c r="B18" s="121" t="n">
        <x:v>46280</x:v>
      </x:c>
      <x:c r="C18" s="121" t="n">
        <x:v>46280</x:v>
      </x:c>
      <x:c r="D18" s="77" t="str">
        <x:v>AnalogAI</x:v>
      </x:c>
      <x:c r="E18" s="67" t="str">
        <x:v>选用SST memBrain SAGE IP</x:v>
      </x:c>
      <x:c r="F18" s="67" t="str">
        <x:v>IP选型，无流片证据</x:v>
      </x:c>
      <x:c r="G18" s="67" t="str">
        <x:v>https://ir.microchip.com/news-events/press-releases/detail/1414/analogai-selects-membrain-sage-intellectual-property-from-silicon-storage-technology-for-its-first-real-world-edge-ai-processors</x:v>
      </x:c>
      <x:c r="H18" s="67"/>
      <x:c r="I18" s="68"/>
      <x:c r="J18" s="2"/>
      <x:c r="K18" s="2"/>
      <x:c r="L18" s="2"/>
      <x:c r="M18" s="2"/>
      <x:c r="N18" s="2"/>
      <x:c r="O18" s="2"/>
    </x:row>
    <x:row r="19" ht="60" customHeight="1">
      <x:c r="A19" s="76" t="str">
        <x:v>T020</x:v>
      </x:c>
      <x:c r="B19" s="121" t="n">
        <x:v>46288</x:v>
      </x:c>
      <x:c r="C19" s="121"/>
      <x:c r="D19" s="77" t="str">
        <x:v>SpiNNcloud／py-spinnaker2</x:v>
      </x:c>
      <x:c r="E19" s="67" t="str">
        <x:v>v0.8.2标签记录首次公开Docker镜像</x:v>
      </x:c>
      <x:c r="F19" s="67" t="str">
        <x:v>日期是标签关联提交日期；发布说明、当前文档和Docker Hub确认公开镜像存在，未核首个实际推送日，未复现规模化训练</x:v>
      </x:c>
      <x:c r="G19" s="67" t="str">
        <x:v>https://gitlab.com/spinnaker2/py-spinnaker2/-/tags</x:v>
      </x:c>
      <x:c r="H19" s="67"/>
      <x:c r="I19" s="68"/>
      <x:c r="J19" s="2"/>
      <x:c r="K19" s="2"/>
      <x:c r="L19" s="2"/>
      <x:c r="M19" s="2"/>
      <x:c r="N19" s="2"/>
      <x:c r="O19" s="2"/>
    </x:row>
    <x:row r="20" ht="60" customHeight="1">
      <x:c r="A20" s="102" t="str">
        <x:v>T016</x:v>
      </x:c>
      <x:c r="B20" s="123" t="n">
        <x:v>46291</x:v>
      </x:c>
      <x:c r="C20" s="123" t="n">
        <x:v>46293</x:v>
      </x:c>
      <x:c r="D20" s="104" t="str">
        <x:v>AMD／World Labs</x:v>
      </x:c>
      <x:c r="E20" s="80" t="str">
        <x:v>签署约82亿美元全股票收购协议</x:v>
      </x:c>
      <x:c r="F20" s="80" t="str">
        <x:v>AMD拟收购World Labs全部股权，预计2026年底完成；交易仍待监管批准和惯例条件，不是已完成收购，也不证明World Labs采用类脑芯片</x:v>
      </x:c>
      <x:c r="G20" s="80" t="str">
        <x:v>https://www.sec.gov/Archives/edgar/data/2488/000000248826000182/amd-20260926.htm</x:v>
      </x:c>
      <x:c r="H20" s="67"/>
      <x:c r="I20" s="68"/>
      <x:c r="J20" s="2"/>
      <x:c r="K20" s="2"/>
      <x:c r="L20" s="2"/>
      <x:c r="M20" s="2"/>
      <x:c r="N20" s="2"/>
      <x:c r="O20" s="2"/>
    </x:row>
    <x:row r="21" ht="60" customHeight="1">
      <x:c r="A21" s="116" t="str">
        <x:v>T009</x:v>
      </x:c>
      <x:c r="B21" s="124" t="n">
        <x:v>46293</x:v>
      </x:c>
      <x:c r="C21" s="124" t="n">
        <x:v>46293</x:v>
      </x:c>
      <x:c r="D21" s="118" t="str">
        <x:v>POLYN</x:v>
      </x:c>
      <x:c r="E21" s="80" t="str">
        <x:v>TMS工程节点供客户评估</x:v>
      </x:c>
      <x:c r="F21" s="80" t="str">
        <x:v>未具名评估方，非量产</x:v>
      </x:c>
      <x:c r="G21" s="80" t="str">
        <x:v>https://polyn.ai/polyn-delivers-first-vibrosense-tms-engineering-sensor-nodes-for-customer-evaluation/</x:v>
      </x:c>
      <x:c r="H21" s="67"/>
      <x:c r="I21" s="68"/>
      <x:c r="J21" s="2"/>
      <x:c r="K21" s="2"/>
      <x:c r="L21" s="2"/>
      <x:c r="M21" s="2"/>
      <x:c r="N21" s="2"/>
      <x:c r="O21" s="2"/>
    </x:row>
    <x:row r="22" ht="24" customHeight="1">
      <x:c r="A22" s="78"/>
      <x:c r="B22" s="79"/>
      <x:c r="C22" s="79"/>
      <x:c r="D22" s="80"/>
      <x:c r="E22" s="80"/>
      <x:c r="F22" s="80"/>
      <x:c r="G22" s="80"/>
      <x:c r="H22" s="67"/>
      <x:c r="I22" s="68"/>
      <x:c r="J22" s="2"/>
      <x:c r="K22" s="2"/>
      <x:c r="L22" s="2"/>
      <x:c r="M22" s="2"/>
      <x:c r="N22" s="2"/>
      <x:c r="O22" s="2"/>
    </x:row>
    <x:row r="23" ht="24" customHeight="1">
      <x:c r="A23" s="78"/>
      <x:c r="B23" s="79"/>
      <x:c r="C23" s="79"/>
      <x:c r="D23" s="80"/>
      <x:c r="E23" s="80"/>
      <x:c r="F23" s="80"/>
      <x:c r="G23" s="80"/>
      <x:c r="H23" s="67"/>
      <x:c r="I23" s="68"/>
      <x:c r="J23" s="2"/>
      <x:c r="K23" s="2"/>
      <x:c r="L23" s="2"/>
      <x:c r="M23" s="2"/>
      <x:c r="N23" s="2"/>
      <x:c r="O23" s="2"/>
    </x:row>
    <x:row r="24" ht="24" customHeight="1">
      <x:c r="A24" s="78"/>
      <x:c r="B24" s="79"/>
      <x:c r="C24" s="79"/>
      <x:c r="D24" s="80"/>
      <x:c r="E24" s="80"/>
      <x:c r="F24" s="80"/>
      <x:c r="G24" s="80"/>
      <x:c r="H24" s="67"/>
      <x:c r="I24" s="68"/>
      <x:c r="J24" s="2"/>
      <x:c r="K24" s="2"/>
      <x:c r="L24" s="2"/>
      <x:c r="M24" s="2"/>
      <x:c r="N24" s="2"/>
      <x:c r="O24" s="2"/>
    </x:row>
    <x:row r="25" ht="24" customHeight="1">
      <x:c r="A25" s="76" t="str">
        <x:v>半年收入</x:v>
      </x:c>
      <x:c r="B25" s="86"/>
      <x:c r="C25" s="86"/>
      <x:c r="D25" s="77"/>
      <x:c r="E25" s="80"/>
      <x:c r="F25" s="80"/>
      <x:c r="G25" s="80"/>
      <x:c r="H25" s="67"/>
      <x:c r="I25" s="68"/>
      <x:c r="J25" s="2"/>
      <x:c r="K25" s="2"/>
      <x:c r="L25" s="2"/>
      <x:c r="M25" s="2"/>
      <x:c r="N25" s="2"/>
      <x:c r="O25" s="2"/>
    </x:row>
    <x:row r="26" ht="30" customHeight="1">
      <x:c r="A26" s="78" t="str">
        <x:v>构成</x:v>
      </x:c>
      <x:c r="B26" s="79" t="str">
        <x:v>2025 H1</x:v>
      </x:c>
      <x:c r="C26" s="79" t="str">
        <x:v>2026 H1</x:v>
      </x:c>
      <x:c r="D26" s="80" t="str">
        <x:v>来源</x:v>
      </x:c>
      <x:c r="E26" s="80"/>
      <x:c r="F26" s="80"/>
      <x:c r="G26" s="80"/>
      <x:c r="H26" s="67"/>
      <x:c r="I26" s="68"/>
      <x:c r="J26" s="2"/>
      <x:c r="K26" s="2"/>
      <x:c r="L26" s="2"/>
      <x:c r="M26" s="2"/>
      <x:c r="N26" s="2"/>
      <x:c r="O26" s="2"/>
    </x:row>
    <x:row r="27" ht="28" customHeight="1">
      <x:c r="A27" s="116" t="str">
        <x:v>许可</x:v>
      </x:c>
      <x:c r="B27" s="117" t="n">
        <x:v>0</x:v>
      </x:c>
      <x:c r="C27" s="117" t="n">
        <x:v>613826</x:v>
      </x:c>
      <x:c r="D27" s="118" t="str">
        <x:v>半年报Note 3</x:v>
      </x:c>
      <x:c r="E27" s="80"/>
      <x:c r="F27" s="80"/>
      <x:c r="G27" s="80"/>
      <x:c r="H27" s="67"/>
      <x:c r="I27" s="68"/>
      <x:c r="J27" s="2"/>
      <x:c r="K27" s="2"/>
      <x:c r="L27" s="2"/>
      <x:c r="M27" s="2"/>
      <x:c r="N27" s="2"/>
      <x:c r="O27" s="2"/>
    </x:row>
    <x:row r="28" ht="30" customHeight="1">
      <x:c r="A28" s="78" t="str">
        <x:v>产品</x:v>
      </x:c>
      <x:c r="B28" s="79" t="n">
        <x:v>19184</x:v>
      </x:c>
      <x:c r="C28" s="79" t="n">
        <x:v>110362</x:v>
      </x:c>
      <x:c r="D28" s="80" t="str">
        <x:v>半年报Note 3</x:v>
      </x:c>
      <x:c r="E28" s="80"/>
      <x:c r="F28" s="80"/>
      <x:c r="G28" s="80"/>
      <x:c r="H28" s="67"/>
      <x:c r="I28" s="68"/>
      <x:c r="J28" s="2"/>
      <x:c r="K28" s="2"/>
      <x:c r="L28" s="2"/>
      <x:c r="M28" s="2"/>
      <x:c r="N28" s="2"/>
      <x:c r="O28" s="2"/>
    </x:row>
    <x:row r="29" ht="30" customHeight="1">
      <x:c r="A29" s="78" t="str">
        <x:v>开发服务</x:v>
      </x:c>
      <x:c r="B29" s="79" t="n">
        <x:v>1004395</x:v>
      </x:c>
      <x:c r="C29" s="79" t="n">
        <x:v>498557</x:v>
      </x:c>
      <x:c r="D29" s="80" t="str">
        <x:v>半年报Note 3</x:v>
      </x:c>
      <x:c r="E29" s="80"/>
      <x:c r="F29" s="80"/>
      <x:c r="G29" s="80"/>
      <x:c r="H29" s="67"/>
      <x:c r="I29" s="68"/>
      <x:c r="J29" s="2"/>
      <x:c r="K29" s="2"/>
      <x:c r="L29" s="2"/>
      <x:c r="M29" s="2"/>
      <x:c r="N29" s="2"/>
      <x:c r="O29" s="2"/>
    </x:row>
    <x:row r="30" ht="30" customHeight="1">
      <x:c r="A30" s="78" t="str">
        <x:v>合计</x:v>
      </x:c>
      <x:c r="B30" s="79" t="n">
        <x:f>SUM(B27:B29)</x:f>
        <x:v>1023579</x:v>
      </x:c>
      <x:c r="C30" s="79" t="n">
        <x:f>SUM(C27:C29)</x:f>
        <x:v>1222745</x:v>
      </x:c>
      <x:c r="D30" s="80" t="str">
        <x:v>监管半年报</x:v>
      </x:c>
      <x:c r="E30" s="80"/>
      <x:c r="F30" s="80"/>
      <x:c r="G30" s="80"/>
      <x:c r="H30" s="67"/>
      <x:c r="I30" s="68"/>
      <x:c r="J30" s="2"/>
      <x:c r="K30" s="2"/>
      <x:c r="L30" s="2"/>
      <x:c r="M30" s="2"/>
      <x:c r="N30" s="2"/>
      <x:c r="O30" s="2"/>
    </x:row>
    <x:row r="31" ht="30" customHeight="1">
      <x:c r="A31" s="78"/>
      <x:c r="B31" s="79"/>
      <x:c r="C31" s="79"/>
      <x:c r="D31" s="80"/>
      <x:c r="E31" s="80"/>
      <x:c r="F31" s="80"/>
      <x:c r="G31" s="80"/>
      <x:c r="H31" s="67"/>
      <x:c r="I31" s="68"/>
      <x:c r="J31" s="2"/>
      <x:c r="K31" s="2"/>
      <x:c r="L31" s="2"/>
      <x:c r="M31" s="2"/>
      <x:c r="N31" s="2"/>
      <x:c r="O31" s="2"/>
    </x:row>
    <x:row r="32" ht="30" customHeight="1">
      <x:c r="A32" s="78" t="str">
        <x:v>现金与客户指标</x:v>
      </x:c>
      <x:c r="B32" s="79" t="str">
        <x:v>2025 H1</x:v>
      </x:c>
      <x:c r="C32" s="79" t="str">
        <x:v>2026 H1</x:v>
      </x:c>
      <x:c r="D32" s="80" t="str">
        <x:v>边界</x:v>
      </x:c>
      <x:c r="E32" s="80"/>
      <x:c r="F32" s="80"/>
      <x:c r="G32" s="80"/>
      <x:c r="H32" s="67"/>
      <x:c r="I32" s="68"/>
      <x:c r="J32" s="2"/>
      <x:c r="K32" s="2"/>
      <x:c r="L32" s="2"/>
      <x:c r="M32" s="2"/>
      <x:c r="N32" s="2"/>
      <x:c r="O32" s="2"/>
    </x:row>
    <x:row r="33" ht="24" customHeight="1">
      <x:c r="A33" s="78" t="str">
        <x:v>客户收款</x:v>
      </x:c>
      <x:c r="B33" s="80" t="n">
        <x:v>1522026</x:v>
      </x:c>
      <x:c r="C33" s="80" t="n">
        <x:v>813247</x:v>
      </x:c>
      <x:c r="D33" s="80" t="str">
        <x:v>现金流，不等于收入</x:v>
      </x:c>
      <x:c r="E33" s="80"/>
      <x:c r="F33" s="80"/>
      <x:c r="G33" s="80"/>
      <x:c r="H33" s="67"/>
      <x:c r="I33" s="68"/>
      <x:c r="J33" s="2"/>
      <x:c r="K33" s="2"/>
      <x:c r="L33" s="2"/>
      <x:c r="M33" s="2"/>
      <x:c r="N33" s="2"/>
      <x:c r="O33" s="2"/>
    </x:row>
    <x:row r="34" ht="24" customHeight="1">
      <x:c r="A34" s="78" t="str">
        <x:v>经营现金净流出</x:v>
      </x:c>
      <x:c r="B34" s="80" t="n">
        <x:v>6990176</x:v>
      </x:c>
      <x:c r="C34" s="80" t="n">
        <x:v>11253495</x:v>
      </x:c>
      <x:c r="D34" s="80" t="str">
        <x:v>按流出绝对值展示</x:v>
      </x:c>
      <x:c r="E34" s="80"/>
      <x:c r="F34" s="80"/>
      <x:c r="G34" s="80"/>
      <x:c r="H34" s="67"/>
      <x:c r="I34" s="68"/>
      <x:c r="J34" s="2"/>
      <x:c r="K34" s="2"/>
      <x:c r="L34" s="2"/>
      <x:c r="M34" s="2"/>
      <x:c r="N34" s="2"/>
      <x:c r="O34" s="2"/>
    </x:row>
    <x:row r="35" ht="24" customHeight="1">
      <x:c r="A35" s="76" t="str">
        <x:v>期末现金及现金等价物</x:v>
      </x:c>
      <x:c r="B35" s="77" t="n">
        <x:v>13458121</x:v>
      </x:c>
      <x:c r="C35" s="77" t="n">
        <x:v>20304971</x:v>
      </x:c>
      <x:c r="D35" s="77" t="str">
        <x:v>各年6月30日</x:v>
      </x:c>
      <x:c r="E35" s="77"/>
      <x:c r="F35" s="77"/>
      <x:c r="G35" s="77"/>
      <x:c r="H35" s="67"/>
      <x:c r="I35" s="68"/>
      <x:c r="J35" s="2"/>
      <x:c r="K35" s="2"/>
      <x:c r="L35" s="2"/>
      <x:c r="M35" s="2"/>
      <x:c r="N35" s="2"/>
      <x:c r="O35" s="2"/>
    </x:row>
    <x:row r="36" ht="72" customHeight="1">
      <x:c r="A36" s="78" t="str">
        <x:v>&gt;10%客户收入合计</x:v>
      </x:c>
      <x:c r="B36" s="80" t="n">
        <x:v>809706</x:v>
      </x:c>
      <x:c r="C36" s="80" t="n">
        <x:v>983780</x:v>
      </x:c>
      <x:c r="D36" s="83" t="str">
        <x:v>2026约占H1收入80.5%</x:v>
      </x:c>
      <x:c r="E36" s="80"/>
      <x:c r="F36" s="80"/>
      <x:c r="G36" s="80"/>
      <x:c r="H36" s="67"/>
      <x:c r="I36" s="68"/>
      <x:c r="J36" s="2"/>
      <x:c r="K36" s="2"/>
      <x:c r="L36" s="2"/>
      <x:c r="M36" s="2"/>
      <x:c r="N36" s="2"/>
      <x:c r="O36" s="2"/>
    </x:row>
    <x:row r="37" ht="28" customHeight="1">
      <x:c r="A37" s="116" t="str">
        <x:v>首批AKD1500生产批次</x:v>
      </x:c>
      <x:c r="B37" s="118"/>
      <x:c r="C37" s="118" t="n">
        <x:v>2000</x:v>
      </x:c>
      <x:c r="D37" s="119" t="str">
        <x:v>颗；公司收到，不是客户出货</x:v>
      </x:c>
      <x:c r="E37" s="118"/>
      <x:c r="F37" s="118"/>
      <x:c r="G37" s="118"/>
      <x:c r="H37" s="67"/>
      <x:c r="I37" s="68"/>
      <x:c r="J37" s="2"/>
      <x:c r="K37" s="2"/>
      <x:c r="L37" s="2"/>
      <x:c r="M37" s="2"/>
      <x:c r="N37" s="2"/>
      <x:c r="O37" s="2"/>
    </x:row>
    <x:row r="38" ht="72" customHeight="1">
      <x:c r="A38" s="78"/>
      <x:c r="B38" s="80"/>
      <x:c r="C38" s="80"/>
      <x:c r="D38" s="83"/>
      <x:c r="E38" s="80"/>
      <x:c r="F38" s="80"/>
      <x:c r="G38" s="80"/>
      <x:c r="H38" s="67"/>
      <x:c r="I38" s="68"/>
      <x:c r="J38" s="2"/>
      <x:c r="K38" s="2"/>
      <x:c r="L38" s="2"/>
      <x:c r="M38" s="2"/>
      <x:c r="N38" s="2"/>
      <x:c r="O38" s="2"/>
    </x:row>
    <x:row r="39" ht="72" customHeight="1">
      <x:c r="A39" s="78" t="str">
        <x:v>来源</x:v>
      </x:c>
      <x:c r="B39" s="80" t="str">
        <x:v>https://investor.brainchip.com/wp-content/uploads/2026/09/2026-08-26-June-2026-half-yearly-report.pdf</x:v>
      </x:c>
      <x:c r="C39" s="80"/>
      <x:c r="D39" s="83"/>
      <x:c r="E39" s="80"/>
      <x:c r="F39" s="80"/>
      <x:c r="G39" s="80"/>
      <x:c r="H39" s="67"/>
      <x:c r="I39" s="68"/>
      <x:c r="J39" s="2"/>
      <x:c r="K39" s="2"/>
      <x:c r="L39" s="2"/>
      <x:c r="M39" s="2"/>
      <x:c r="N39" s="2"/>
      <x:c r="O39" s="2"/>
    </x:row>
    <x:row r="40">
      <x:c r="A40" s="78" t="str">
        <x:v>边界</x:v>
      </x:c>
      <x:c r="B40" s="80" t="str">
        <x:v>监管文件披露首批2,000颗生产批次及良率低于预期；未披露客户出货、单品收入或版税。</x:v>
      </x:c>
      <x:c r="C40" s="80"/>
      <x:c r="D40" s="80"/>
      <x:c r="E40" s="80"/>
      <x:c r="F40" s="80"/>
      <x:c r="G40" s="80"/>
      <x:c r="H40" s="67"/>
      <x:c r="I40" s="68"/>
      <x:c r="J40" s="2"/>
      <x:c r="K40" s="2"/>
      <x:c r="L40" s="2"/>
      <x:c r="M40" s="2"/>
      <x:c r="N40" s="2"/>
      <x:c r="O40" s="2"/>
    </x:row>
    <x:row r="41" ht="28" customHeight="1">
      <x:c r="A41" s="116"/>
      <x:c r="B41" s="118"/>
      <x:c r="C41" s="118"/>
      <x:c r="D41" s="118"/>
      <x:c r="E41" s="80"/>
      <x:c r="F41" s="80"/>
      <x:c r="G41" s="80"/>
      <x:c r="H41" s="67"/>
      <x:c r="I41" s="68"/>
      <x:c r="J41" s="2"/>
      <x:c r="K41" s="2"/>
      <x:c r="L41" s="2"/>
      <x:c r="M41" s="2"/>
      <x:c r="N41" s="2"/>
      <x:c r="O41" s="2"/>
    </x:row>
    <x:row r="42" ht="44" customHeight="1">
      <x:c r="A42" s="105" t="str">
        <x:v>研究编号</x:v>
      </x:c>
      <x:c r="B42" s="80" t="str">
        <x:v>研究主体</x:v>
      </x:c>
      <x:c r="C42" s="80" t="str">
        <x:v>路线</x:v>
      </x:c>
      <x:c r="D42" s="80" t="str">
        <x:v>发布日期</x:v>
      </x:c>
      <x:c r="E42" s="80" t="str">
        <x:v>证据类型</x:v>
      </x:c>
      <x:c r="F42" s="80" t="str">
        <x:v>作者报告指标</x:v>
      </x:c>
      <x:c r="G42" s="80" t="str">
        <x:v>边界</x:v>
      </x:c>
      <x:c r="H42" s="67" t="str">
        <x:v>原始URL</x:v>
      </x:c>
      <x:c r="I42" s="68" t="str">
        <x:v>检索日期</x:v>
      </x:c>
      <x:c r="J42" s="2"/>
      <x:c r="K42" s="2"/>
      <x:c r="L42" s="2"/>
      <x:c r="M42" s="2"/>
      <x:c r="N42" s="2"/>
      <x:c r="O42" s="2"/>
    </x:row>
    <x:row r="43" ht="44" customHeight="1">
      <x:c r="A43" s="105" t="str">
        <x:v>R001</x:v>
      </x:c>
      <x:c r="B43" s="80" t="str">
        <x:v>GelNeuro／中科院自动化所</x:v>
      </x:c>
      <x:c r="C43" s="80" t="str">
        <x:v>GelSight Mini前端＋Speck2f DVS／SCNN直接推理</x:v>
      </x:c>
      <x:c r="D43" s="83" t="n">
        <x:v>46209</x:v>
      </x:c>
      <x:c r="E43" s="80" t="str">
        <x:v>作者预印本实机研究结果，未独立复现</x:v>
      </x:c>
      <x:c r="F43" s="80" t="str">
        <x:v>15类纹理；96.3%；80ms窗口；板级活动19.6mW</x:v>
      </x:c>
      <x:c r="G43" s="80" t="str">
        <x:v>离线PC训练；不是完整机器人功耗、在线学习、真实客户或世界模型训练</x:v>
      </x:c>
      <x:c r="H43" s="67" t="str">
        <x:v>https://arxiv.org/html/2607.05241v1</x:v>
      </x:c>
      <x:c r="I43" s="122" t="n">
        <x:v>46297</x:v>
      </x:c>
      <x:c r="J43" s="2"/>
      <x:c r="K43" s="2"/>
      <x:c r="L43" s="2"/>
      <x:c r="M43" s="2"/>
      <x:c r="N43" s="2"/>
      <x:c r="O43" s="2"/>
    </x:row>
    <x:row r="44" ht="44" customHeight="1">
      <x:c r="A44" s="105" t="str">
        <x:v>R002</x:v>
      </x:c>
      <x:c r="B44" s="80" t="str">
        <x:v>SpikingTac／中科院自动化所</x:v>
      </x:c>
      <x:c r="C44" s="80" t="str">
        <x:v>独立事件相机＋动态状态图与迟滞补偿</x:v>
      </x:c>
      <x:c r="D44" s="83" t="n">
        <x:v>46080</x:v>
      </x:c>
      <x:c r="E44" s="80" t="str">
        <x:v>作者预印本研究样机，未独立复现</x:v>
      </x:c>
      <x:c r="F44" s="80" t="str">
        <x:v>感知1000Hz、跟踪350Hz；实验碰撞后过冲6.2mm</x:v>
      </x:c>
      <x:c r="G44" s="80" t="str">
        <x:v>动态事件状态处理不自动等于SNN芯片；无商业出货／收入证据</x:v>
      </x:c>
      <x:c r="H44" s="67" t="str">
        <x:v>https://arxiv.org/html/2602.23654v1</x:v>
      </x:c>
      <x:c r="I44" s="122" t="n">
        <x:v>46297</x:v>
      </x:c>
      <x:c r="J44" s="2"/>
      <x:c r="K44" s="2"/>
      <x:c r="L44" s="2"/>
      <x:c r="M44" s="2"/>
      <x:c r="N44" s="2"/>
      <x:c r="O44" s="2"/>
    </x:row>
    <x:row r="45" ht="44" customHeight="1">
      <x:c r="A45" s="106"/>
      <x:c r="B45" s="107"/>
      <x:c r="C45" s="107"/>
      <x:c r="D45" s="107"/>
      <x:c r="E45" s="107"/>
      <x:c r="F45" s="107"/>
      <x:c r="G45" s="107"/>
      <x:c r="H45" s="74"/>
      <x:c r="I45" s="75"/>
      <x:c r="J45" s="2"/>
      <x:c r="K45" s="2"/>
      <x:c r="L45" s="2"/>
      <x:c r="M45" s="2"/>
      <x:c r="N45" s="2"/>
      <x:c r="O45" s="2"/>
    </x:row>
    <x:row r="46" ht="44" customHeight="1">
      <x:c r="A46" s="4" t="str">
        <x:v>并购与退出日期</x:v>
      </x:c>
      <x:c r="B46" s="3" t="str">
        <x:v>交易／整合</x:v>
      </x:c>
      <x:c r="C46" s="3" t="str">
        <x:v>状态</x:v>
      </x:c>
      <x:c r="D46" s="3" t="str">
        <x:v>证据边界</x:v>
      </x:c>
      <x:c r="E46" s="3"/>
      <x:c r="F46" s="3"/>
      <x:c r="G46" s="3"/>
      <x:c r="H46" s="2"/>
      <x:c r="I46" s="2"/>
      <x:c r="J46" s="2"/>
      <x:c r="K46" s="2"/>
      <x:c r="L46" s="2"/>
      <x:c r="M46" s="2"/>
      <x:c r="N46" s="2"/>
      <x:c r="O46" s="2"/>
    </x:row>
    <x:row r="47" ht="44" customHeight="1">
      <x:c r="A47" s="4" t="n">
        <x:v>45230</x:v>
      </x:c>
      <x:c r="B47" s="3" t="str">
        <x:v>GrAI Matter Labs → Snap</x:v>
      </x:c>
      <x:c r="C47" s="3" t="str">
        <x:v>交易后于2024-02-01吸收合并注销</x:v>
      </x:c>
      <x:c r="D47" s="3" t="str">
        <x:v>不再计独立供应商；技术落地与收购价未知</x:v>
      </x:c>
      <x:c r="E47" s="3"/>
      <x:c r="F47" s="3"/>
      <x:c r="G47" s="3"/>
      <x:c r="H47" s="2"/>
      <x:c r="I47" s="2"/>
      <x:c r="J47" s="2"/>
      <x:c r="K47" s="2"/>
      <x:c r="L47" s="2"/>
      <x:c r="M47" s="2"/>
      <x:c r="N47" s="2"/>
      <x:c r="O47" s="2"/>
    </x:row>
    <x:row r="48">
      <x:c r="A48" s="2" t="n">
        <x:v>45323</x:v>
      </x:c>
      <x:c r="B48" s="2" t="str">
        <x:v>iniVation → SynSense Group</x:v>
      </x:c>
      <x:c r="C48" s="2" t="str">
        <x:v>100%股份收购；苏黎世实体继续运营</x:v>
      </x:c>
      <x:c r="D48" s="2" t="str">
        <x:v>交易金额未知；品牌／产品继续不等于独立所有权</x:v>
      </x:c>
      <x:c r="E48" s="2"/>
      <x:c r="F48" s="2"/>
      <x:c r="G48" s="2"/>
      <x:c r="H48" s="2"/>
      <x:c r="I48" s="2"/>
      <x:c r="J48" s="2"/>
      <x:c r="K48" s="2"/>
      <x:c r="L48" s="2"/>
      <x:c r="M48" s="2"/>
      <x:c r="N48" s="2"/>
      <x:c r="O48" s="2"/>
    </x:row>
    <x:row r="49">
      <x:c r="A49" s="2" t="n">
        <x:v>45656</x:v>
      </x:c>
      <x:c r="B49" s="2" t="str">
        <x:v>Knowles消费MEMS麦克风 → Syntiant</x:v>
      </x:c>
      <x:c r="C49" s="2" t="str">
        <x:v>已完成；1.5亿美元现金加股票</x:v>
      </x:c>
      <x:c r="D49" s="2" t="str">
        <x:v>2.56亿美元为被收购业务2023收入，不是NDP芯片收入</x:v>
      </x:c>
      <x:c r="E49" s="2"/>
      <x:c r="F49" s="2"/>
      <x:c r="G49" s="2"/>
      <x:c r="H49" s="2"/>
      <x:c r="I49" s="2"/>
      <x:c r="J49" s="2"/>
      <x:c r="K49" s="2"/>
      <x:c r="L49" s="2"/>
      <x:c r="M49" s="2"/>
      <x:c r="N49" s="2"/>
      <x:c r="O49" s="2"/>
    </x:row>
    <x:row r="50">
      <x:c r="A50" s="2" t="n">
        <x:v>46161</x:v>
      </x:c>
      <x:c r="B50" s="2" t="str">
        <x:v>Videantis → Mythic</x:v>
      </x:c>
      <x:c r="C50" s="2" t="str">
        <x:v>已完成</x:v>
      </x:c>
      <x:c r="D50" s="2" t="str">
        <x:v>Videantis既有装机不计Mythic模拟APU出货</x:v>
      </x:c>
      <x:c r="E50" s="2"/>
      <x:c r="F50" s="2"/>
      <x:c r="G50" s="2"/>
      <x:c r="H50" s="2"/>
      <x:c r="I50" s="2"/>
      <x:c r="J50" s="2"/>
      <x:c r="K50" s="2"/>
      <x:c r="L50" s="2"/>
      <x:c r="M50" s="2"/>
      <x:c r="N50" s="2"/>
      <x:c r="O50" s="2"/>
    </x:row>
    <x:row r="51">
      <x:c r="A51" s="2" t="n">
        <x:v>46224</x:v>
      </x:c>
      <x:c r="B51" s="2" t="str">
        <x:v>SceniX → World Labs</x:v>
      </x:c>
      <x:c r="C51" s="2" t="str">
        <x:v>已并入；R2S2R机器人仿真链</x:v>
      </x:c>
      <x:c r="D51" s="2" t="str">
        <x:v>公司展示未独立复现；金额和客户收入未知</x:v>
      </x:c>
      <x:c r="E51" s="2"/>
      <x:c r="F51" s="2"/>
      <x:c r="G51" s="2"/>
      <x:c r="H51" s="2"/>
      <x:c r="I51" s="2"/>
      <x:c r="J51" s="2"/>
      <x:c r="K51" s="2"/>
      <x:c r="L51" s="2"/>
      <x:c r="M51" s="2"/>
      <x:c r="N51" s="2"/>
      <x:c r="O51" s="2"/>
    </x:row>
    <x:row r="52">
      <x:c r="A52" s="2" t="n">
        <x:v>46291</x:v>
      </x:c>
      <x:c r="B52" s="2" t="str">
        <x:v>World Labs → AMD</x:v>
      </x:c>
      <x:c r="C52" s="2" t="str">
        <x:v>已签协议，预计年底完成</x:v>
      </x:c>
      <x:c r="D52" s="2" t="str">
        <x:v>约82亿美元全股票；仍待监管与交割条件</x:v>
      </x:c>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45f34a20a8134d23"/>
    <x:tablePart xmlns:r="http://schemas.openxmlformats.org/officeDocument/2006/relationships" r:id="Rf9641a6af2d34d41"/>
  </x:tableParts>
</x:worksheet>
</file>